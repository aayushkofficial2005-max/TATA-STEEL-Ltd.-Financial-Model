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4" documentId="8_{2FB02B60-DCC7-448F-AF6F-806DE688F78F}" xr6:coauthVersionLast="47" xr6:coauthVersionMax="47" xr10:uidLastSave="{29A0DED3-11E0-46EA-8FA8-300BD24F50FD}"/>
  <bookViews>
    <workbookView xWindow="-108" yWindow="-108" windowWidth="23256" windowHeight="13896" tabRatio="500" firstSheet="6" activeTab="6" xr2:uid="{00000000-000D-0000-FFFF-FFFF00000000}"/>
  </bookViews>
  <sheets>
    <sheet name="Profit &amp; Loss" sheetId="1" state="hidden" r:id="rId1"/>
    <sheet name="Quarters" sheetId="2" state="hidden" r:id="rId2"/>
    <sheet name="Balance Sheet" sheetId="3" state="hidden" r:id="rId3"/>
    <sheet name="Cash Flow" sheetId="4" state="hidden" r:id="rId4"/>
    <sheet name="Customization" sheetId="5" state="hidden" r:id="rId5"/>
    <sheet name="Financials&gt;" sheetId="6" r:id="rId6"/>
    <sheet name="FM" sheetId="7" r:id="rId7"/>
    <sheet name="WACC" sheetId="8" r:id="rId8"/>
    <sheet name="DATA&gt;" sheetId="9" r:id="rId9"/>
    <sheet name="BETA-Regression" sheetId="10" r:id="rId10"/>
    <sheet name="BETA_comps" sheetId="11" r:id="rId11"/>
    <sheet name="RM" sheetId="12" r:id="rId12"/>
    <sheet name="Intrinsic Growth" sheetId="13" r:id="rId13"/>
    <sheet name="DCF" sheetId="14" r:id="rId14"/>
    <sheet name="DATA ROOM&gt;" sheetId="15" r:id="rId15"/>
    <sheet name="Data Sheet" sheetId="16" r:id="rId16"/>
    <sheet name="Cash Flow Data" sheetId="17" r:id="rId17"/>
    <sheet name="Raw FS" sheetId="18" r:id="rId18"/>
  </sheets>
  <definedNames>
    <definedName name="UPDATE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2" i="18" l="1"/>
  <c r="M32" i="18"/>
  <c r="L32" i="18"/>
  <c r="K32" i="18"/>
  <c r="J32" i="18"/>
  <c r="I32" i="18"/>
  <c r="H32" i="18"/>
  <c r="G32" i="18"/>
  <c r="F32" i="18"/>
  <c r="E32" i="18"/>
  <c r="D32" i="18"/>
  <c r="C32" i="18"/>
  <c r="B6" i="16"/>
  <c r="D35" i="14" s="1"/>
  <c r="E1" i="16"/>
  <c r="D33" i="14"/>
  <c r="D32" i="14"/>
  <c r="D22" i="14"/>
  <c r="J9" i="14"/>
  <c r="K9" i="14" s="1"/>
  <c r="I9" i="14"/>
  <c r="H9" i="14"/>
  <c r="K56" i="13"/>
  <c r="J56" i="13"/>
  <c r="I56" i="13"/>
  <c r="H56" i="13"/>
  <c r="G56" i="13"/>
  <c r="K42" i="13"/>
  <c r="J42" i="13"/>
  <c r="I42" i="13"/>
  <c r="H42" i="13"/>
  <c r="G42" i="13"/>
  <c r="K40" i="13"/>
  <c r="J40" i="13"/>
  <c r="I40" i="13"/>
  <c r="H40" i="13"/>
  <c r="G40" i="13"/>
  <c r="K35" i="13"/>
  <c r="J35" i="13"/>
  <c r="I35" i="13"/>
  <c r="H35" i="13"/>
  <c r="G35" i="13"/>
  <c r="G45" i="13" s="1"/>
  <c r="G47" i="13" s="1"/>
  <c r="K31" i="13"/>
  <c r="J31" i="13"/>
  <c r="I31" i="13"/>
  <c r="H31" i="13"/>
  <c r="G31" i="13"/>
  <c r="K29" i="13"/>
  <c r="J29" i="13"/>
  <c r="I29" i="13"/>
  <c r="H29" i="13"/>
  <c r="G29" i="13"/>
  <c r="B29" i="13"/>
  <c r="K28" i="13"/>
  <c r="J28" i="13"/>
  <c r="I28" i="13"/>
  <c r="H28" i="13"/>
  <c r="G28" i="13"/>
  <c r="B28" i="13"/>
  <c r="K27" i="13"/>
  <c r="J27" i="13"/>
  <c r="I27" i="13"/>
  <c r="H27" i="13"/>
  <c r="G27" i="13"/>
  <c r="B27" i="13"/>
  <c r="K26" i="13"/>
  <c r="J26" i="13"/>
  <c r="I26" i="13"/>
  <c r="H26" i="13"/>
  <c r="G26" i="13"/>
  <c r="B26" i="13"/>
  <c r="K25" i="13"/>
  <c r="J25" i="13"/>
  <c r="I25" i="13"/>
  <c r="H25" i="13"/>
  <c r="G25" i="13"/>
  <c r="B25" i="13"/>
  <c r="K24" i="13"/>
  <c r="J24" i="13"/>
  <c r="I24" i="13"/>
  <c r="H24" i="13"/>
  <c r="G24" i="13"/>
  <c r="B24" i="13"/>
  <c r="K23" i="13"/>
  <c r="J23" i="13"/>
  <c r="I23" i="13"/>
  <c r="H23" i="13"/>
  <c r="G23" i="13"/>
  <c r="B23" i="13"/>
  <c r="K22" i="13"/>
  <c r="K30" i="13" s="1"/>
  <c r="K32" i="13" s="1"/>
  <c r="J22" i="13"/>
  <c r="I22" i="13"/>
  <c r="H22" i="13"/>
  <c r="G22" i="13"/>
  <c r="B22" i="13"/>
  <c r="K21" i="13"/>
  <c r="J21" i="13"/>
  <c r="I21" i="13"/>
  <c r="H21" i="13"/>
  <c r="G21" i="13"/>
  <c r="B21" i="13"/>
  <c r="K15" i="13"/>
  <c r="J15" i="13"/>
  <c r="I15" i="13"/>
  <c r="H15" i="13"/>
  <c r="G15" i="13"/>
  <c r="B15" i="13"/>
  <c r="K14" i="13"/>
  <c r="K16" i="13" s="1"/>
  <c r="J14" i="13"/>
  <c r="J16" i="13" s="1"/>
  <c r="I14" i="13"/>
  <c r="H14" i="13"/>
  <c r="H16" i="13" s="1"/>
  <c r="G14" i="13"/>
  <c r="B14" i="13"/>
  <c r="K13" i="13"/>
  <c r="J13" i="13"/>
  <c r="I13" i="13"/>
  <c r="H13" i="13"/>
  <c r="G13" i="13"/>
  <c r="B13" i="13"/>
  <c r="K9" i="13"/>
  <c r="J9" i="13"/>
  <c r="I9" i="13"/>
  <c r="H9" i="13"/>
  <c r="G9" i="13"/>
  <c r="B9" i="13"/>
  <c r="K8" i="13"/>
  <c r="J8" i="13"/>
  <c r="I8" i="13"/>
  <c r="H8" i="13"/>
  <c r="G8" i="13"/>
  <c r="B8" i="13"/>
  <c r="K7" i="13"/>
  <c r="J7" i="13"/>
  <c r="I7" i="13"/>
  <c r="I10" i="13" s="1"/>
  <c r="H7" i="13"/>
  <c r="H10" i="13" s="1"/>
  <c r="H18" i="13" s="1"/>
  <c r="G7" i="13"/>
  <c r="G10" i="13" s="1"/>
  <c r="B7" i="13"/>
  <c r="K6" i="13"/>
  <c r="J6" i="13"/>
  <c r="I6" i="13"/>
  <c r="H6" i="13"/>
  <c r="G6" i="13"/>
  <c r="B6" i="13"/>
  <c r="K5" i="13"/>
  <c r="J5" i="13"/>
  <c r="I5" i="13"/>
  <c r="H5" i="13"/>
  <c r="G5" i="13"/>
  <c r="B5" i="13"/>
  <c r="K2" i="13"/>
  <c r="F2" i="14" s="1"/>
  <c r="G2" i="14" s="1"/>
  <c r="H2" i="14" s="1"/>
  <c r="I2" i="14" s="1"/>
  <c r="J2" i="14" s="1"/>
  <c r="K2" i="14" s="1"/>
  <c r="J2" i="13"/>
  <c r="I2" i="13"/>
  <c r="H2" i="13"/>
  <c r="G2" i="13"/>
  <c r="G8" i="12"/>
  <c r="G6" i="12"/>
  <c r="I66" i="10"/>
  <c r="D66" i="10"/>
  <c r="I65" i="10"/>
  <c r="D65" i="10"/>
  <c r="I64" i="10"/>
  <c r="D64" i="10"/>
  <c r="I63" i="10"/>
  <c r="D63" i="10"/>
  <c r="I62" i="10"/>
  <c r="D62" i="10"/>
  <c r="I61" i="10"/>
  <c r="D61" i="10"/>
  <c r="I60" i="10"/>
  <c r="D60" i="10"/>
  <c r="I59" i="10"/>
  <c r="D59" i="10"/>
  <c r="I58" i="10"/>
  <c r="D58" i="10"/>
  <c r="I57" i="10"/>
  <c r="D57" i="10"/>
  <c r="I56" i="10"/>
  <c r="D56" i="10"/>
  <c r="I55" i="10"/>
  <c r="D55" i="10"/>
  <c r="I54" i="10"/>
  <c r="D54" i="10"/>
  <c r="I53" i="10"/>
  <c r="D53" i="10"/>
  <c r="I52" i="10"/>
  <c r="D52" i="10"/>
  <c r="I51" i="10"/>
  <c r="D51" i="10"/>
  <c r="I50" i="10"/>
  <c r="D50" i="10"/>
  <c r="I49" i="10"/>
  <c r="D49" i="10"/>
  <c r="I48" i="10"/>
  <c r="D48" i="10"/>
  <c r="I47" i="10"/>
  <c r="D47" i="10"/>
  <c r="I46" i="10"/>
  <c r="D46" i="10"/>
  <c r="I45" i="10"/>
  <c r="D45" i="10"/>
  <c r="I44" i="10"/>
  <c r="D44" i="10"/>
  <c r="I43" i="10"/>
  <c r="D43" i="10"/>
  <c r="I42" i="10"/>
  <c r="D42" i="10"/>
  <c r="I41" i="10"/>
  <c r="D41" i="10"/>
  <c r="I40" i="10"/>
  <c r="D40" i="10"/>
  <c r="I39" i="10"/>
  <c r="D39" i="10"/>
  <c r="I38" i="10"/>
  <c r="D38" i="10"/>
  <c r="I37" i="10"/>
  <c r="D37" i="10"/>
  <c r="I36" i="10"/>
  <c r="D36" i="10"/>
  <c r="I35" i="10"/>
  <c r="D35" i="10"/>
  <c r="I34" i="10"/>
  <c r="D34" i="10"/>
  <c r="I33" i="10"/>
  <c r="D33" i="10"/>
  <c r="I32" i="10"/>
  <c r="D32" i="10"/>
  <c r="I31" i="10"/>
  <c r="D31" i="10"/>
  <c r="I30" i="10"/>
  <c r="D30" i="10"/>
  <c r="I29" i="10"/>
  <c r="D29" i="10"/>
  <c r="I28" i="10"/>
  <c r="D28" i="10"/>
  <c r="I27" i="10"/>
  <c r="D27" i="10"/>
  <c r="I26" i="10"/>
  <c r="D26" i="10"/>
  <c r="I25" i="10"/>
  <c r="D25" i="10"/>
  <c r="I24" i="10"/>
  <c r="D24" i="10"/>
  <c r="I23" i="10"/>
  <c r="D23" i="10"/>
  <c r="I22" i="10"/>
  <c r="D22" i="10"/>
  <c r="I21" i="10"/>
  <c r="D21" i="10"/>
  <c r="I20" i="10"/>
  <c r="D20" i="10"/>
  <c r="I19" i="10"/>
  <c r="D19" i="10"/>
  <c r="I18" i="10"/>
  <c r="D18" i="10"/>
  <c r="I17" i="10"/>
  <c r="D17" i="10"/>
  <c r="I16" i="10"/>
  <c r="D16" i="10"/>
  <c r="I15" i="10"/>
  <c r="D15" i="10"/>
  <c r="I14" i="10"/>
  <c r="D14" i="10"/>
  <c r="I13" i="10"/>
  <c r="D13" i="10"/>
  <c r="L12" i="10"/>
  <c r="I12" i="10"/>
  <c r="D12" i="10"/>
  <c r="I11" i="10"/>
  <c r="D11" i="10"/>
  <c r="I10" i="10"/>
  <c r="D10" i="10"/>
  <c r="I9" i="10"/>
  <c r="D9" i="10"/>
  <c r="I8" i="10"/>
  <c r="G8" i="10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D8" i="10"/>
  <c r="B8" i="10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I7" i="10"/>
  <c r="G7" i="10"/>
  <c r="D7" i="10"/>
  <c r="B7" i="10"/>
  <c r="O6" i="10"/>
  <c r="L6" i="10" s="1"/>
  <c r="J11" i="8" s="1"/>
  <c r="K30" i="8"/>
  <c r="E23" i="8"/>
  <c r="K38" i="8" s="1"/>
  <c r="K22" i="8"/>
  <c r="E21" i="8"/>
  <c r="J17" i="8"/>
  <c r="G17" i="8"/>
  <c r="J16" i="8"/>
  <c r="G16" i="8"/>
  <c r="F14" i="8"/>
  <c r="E14" i="8"/>
  <c r="F13" i="8"/>
  <c r="E13" i="8"/>
  <c r="I13" i="8" s="1"/>
  <c r="F12" i="8"/>
  <c r="E12" i="8"/>
  <c r="I12" i="8" s="1"/>
  <c r="F11" i="8"/>
  <c r="C30" i="8" s="1"/>
  <c r="E11" i="8"/>
  <c r="F10" i="8"/>
  <c r="E10" i="8"/>
  <c r="I10" i="8" s="1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D4" i="4"/>
  <c r="C4" i="4"/>
  <c r="B4" i="4"/>
  <c r="K3" i="4"/>
  <c r="J3" i="4"/>
  <c r="I3" i="4"/>
  <c r="H3" i="4"/>
  <c r="G3" i="4"/>
  <c r="F3" i="4"/>
  <c r="E3" i="4"/>
  <c r="D3" i="4"/>
  <c r="C3" i="4"/>
  <c r="B3" i="4"/>
  <c r="K23" i="3"/>
  <c r="E23" i="3"/>
  <c r="H21" i="3"/>
  <c r="G21" i="3"/>
  <c r="F21" i="3"/>
  <c r="E21" i="3"/>
  <c r="D21" i="3"/>
  <c r="C21" i="3"/>
  <c r="B21" i="3"/>
  <c r="J20" i="3"/>
  <c r="I20" i="3"/>
  <c r="K18" i="3"/>
  <c r="J18" i="3"/>
  <c r="I18" i="3"/>
  <c r="H18" i="3"/>
  <c r="G18" i="3"/>
  <c r="F18" i="3"/>
  <c r="E18" i="3"/>
  <c r="D18" i="3"/>
  <c r="C18" i="3"/>
  <c r="B18" i="3"/>
  <c r="K17" i="3"/>
  <c r="J17" i="3"/>
  <c r="I17" i="3"/>
  <c r="H17" i="3"/>
  <c r="G17" i="3"/>
  <c r="F17" i="3"/>
  <c r="E17" i="3"/>
  <c r="D17" i="3"/>
  <c r="C17" i="3"/>
  <c r="B17" i="3"/>
  <c r="K16" i="3"/>
  <c r="J16" i="3"/>
  <c r="I16" i="3"/>
  <c r="H16" i="3"/>
  <c r="G16" i="3"/>
  <c r="K14" i="3"/>
  <c r="J14" i="3"/>
  <c r="I14" i="3"/>
  <c r="H14" i="3"/>
  <c r="G14" i="3"/>
  <c r="F14" i="3"/>
  <c r="E14" i="3"/>
  <c r="D14" i="3"/>
  <c r="C14" i="3"/>
  <c r="B14" i="3"/>
  <c r="K13" i="3"/>
  <c r="J13" i="3"/>
  <c r="I13" i="3"/>
  <c r="H13" i="3"/>
  <c r="G13" i="3"/>
  <c r="F13" i="3"/>
  <c r="E13" i="3"/>
  <c r="D13" i="3"/>
  <c r="D16" i="3" s="1"/>
  <c r="C13" i="3"/>
  <c r="C16" i="3" s="1"/>
  <c r="B13" i="3"/>
  <c r="K12" i="3"/>
  <c r="J12" i="3"/>
  <c r="I12" i="3"/>
  <c r="H12" i="3"/>
  <c r="G12" i="3"/>
  <c r="F12" i="3"/>
  <c r="E12" i="3"/>
  <c r="D12" i="3"/>
  <c r="C12" i="3"/>
  <c r="B12" i="3"/>
  <c r="K11" i="3"/>
  <c r="J11" i="3"/>
  <c r="I11" i="3"/>
  <c r="H11" i="3"/>
  <c r="G11" i="3"/>
  <c r="F11" i="3"/>
  <c r="E11" i="3"/>
  <c r="D11" i="3"/>
  <c r="C11" i="3"/>
  <c r="B11" i="3"/>
  <c r="K10" i="3"/>
  <c r="J10" i="3"/>
  <c r="I10" i="3"/>
  <c r="H10" i="3"/>
  <c r="G10" i="3"/>
  <c r="F10" i="3"/>
  <c r="E10" i="3"/>
  <c r="D10" i="3"/>
  <c r="C10" i="3"/>
  <c r="B10" i="3"/>
  <c r="K8" i="3"/>
  <c r="J8" i="3"/>
  <c r="I8" i="3"/>
  <c r="H8" i="3"/>
  <c r="G8" i="3"/>
  <c r="F8" i="3"/>
  <c r="E8" i="3"/>
  <c r="D8" i="3"/>
  <c r="C8" i="3"/>
  <c r="B8" i="3"/>
  <c r="K7" i="3"/>
  <c r="J7" i="3"/>
  <c r="I7" i="3"/>
  <c r="H7" i="3"/>
  <c r="G7" i="3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J23" i="3" s="1"/>
  <c r="I5" i="3"/>
  <c r="I23" i="3" s="1"/>
  <c r="H5" i="3"/>
  <c r="G5" i="3"/>
  <c r="G23" i="3" s="1"/>
  <c r="F5" i="3"/>
  <c r="F23" i="3" s="1"/>
  <c r="E5" i="3"/>
  <c r="D5" i="3"/>
  <c r="C5" i="3"/>
  <c r="B5" i="3"/>
  <c r="K4" i="3"/>
  <c r="J4" i="3"/>
  <c r="I4" i="3"/>
  <c r="H4" i="3"/>
  <c r="G4" i="3"/>
  <c r="H24" i="3" s="1"/>
  <c r="F4" i="3"/>
  <c r="G24" i="3" s="1"/>
  <c r="E4" i="3"/>
  <c r="F24" i="3" s="1"/>
  <c r="D4" i="3"/>
  <c r="D23" i="3" s="1"/>
  <c r="C4" i="3"/>
  <c r="B4" i="3"/>
  <c r="K3" i="3"/>
  <c r="J3" i="3"/>
  <c r="I3" i="3"/>
  <c r="H3" i="3"/>
  <c r="G3" i="3"/>
  <c r="F3" i="3"/>
  <c r="E3" i="3"/>
  <c r="D3" i="3"/>
  <c r="C3" i="3"/>
  <c r="B3" i="3"/>
  <c r="I14" i="2"/>
  <c r="H14" i="2"/>
  <c r="G14" i="2"/>
  <c r="F14" i="2"/>
  <c r="E14" i="2"/>
  <c r="D14" i="2"/>
  <c r="K12" i="2"/>
  <c r="J12" i="2"/>
  <c r="I12" i="2"/>
  <c r="H12" i="2"/>
  <c r="G12" i="2"/>
  <c r="F12" i="2"/>
  <c r="E12" i="2"/>
  <c r="D12" i="2"/>
  <c r="C12" i="2"/>
  <c r="B12" i="2"/>
  <c r="K11" i="2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L10" i="1" s="1"/>
  <c r="G10" i="2"/>
  <c r="F10" i="2"/>
  <c r="E10" i="2"/>
  <c r="D10" i="2"/>
  <c r="C10" i="2"/>
  <c r="B10" i="2"/>
  <c r="K9" i="2"/>
  <c r="J9" i="2"/>
  <c r="L9" i="1" s="1"/>
  <c r="I9" i="2"/>
  <c r="H9" i="2"/>
  <c r="G9" i="2"/>
  <c r="F9" i="2"/>
  <c r="E9" i="2"/>
  <c r="D9" i="2"/>
  <c r="C9" i="2"/>
  <c r="B9" i="2"/>
  <c r="K8" i="2"/>
  <c r="J8" i="2"/>
  <c r="I8" i="2"/>
  <c r="H8" i="2"/>
  <c r="L8" i="1" s="1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L5" i="1" s="1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C14" i="2" s="1"/>
  <c r="B4" i="2"/>
  <c r="B14" i="2" s="1"/>
  <c r="K3" i="2"/>
  <c r="J3" i="2"/>
  <c r="I3" i="2"/>
  <c r="H3" i="2"/>
  <c r="G3" i="2"/>
  <c r="F3" i="2"/>
  <c r="E3" i="2"/>
  <c r="D3" i="2"/>
  <c r="C3" i="2"/>
  <c r="B3" i="2"/>
  <c r="K18" i="1"/>
  <c r="J18" i="1"/>
  <c r="I18" i="1"/>
  <c r="H18" i="1"/>
  <c r="G18" i="1"/>
  <c r="F18" i="1"/>
  <c r="E18" i="1"/>
  <c r="D18" i="1"/>
  <c r="C18" i="1"/>
  <c r="B18" i="1"/>
  <c r="L15" i="1"/>
  <c r="K15" i="1"/>
  <c r="J15" i="1"/>
  <c r="I15" i="1"/>
  <c r="H15" i="1"/>
  <c r="G15" i="1"/>
  <c r="G14" i="1" s="1"/>
  <c r="F15" i="1"/>
  <c r="F14" i="1" s="1"/>
  <c r="E15" i="1"/>
  <c r="E14" i="1" s="1"/>
  <c r="D15" i="1"/>
  <c r="C15" i="1"/>
  <c r="B15" i="1"/>
  <c r="K13" i="1"/>
  <c r="K14" i="1" s="1"/>
  <c r="J13" i="1"/>
  <c r="J14" i="1" s="1"/>
  <c r="I13" i="1"/>
  <c r="I14" i="1" s="1"/>
  <c r="H13" i="1"/>
  <c r="H14" i="1" s="1"/>
  <c r="L12" i="1"/>
  <c r="K12" i="1"/>
  <c r="J12" i="1"/>
  <c r="I12" i="1"/>
  <c r="H12" i="1"/>
  <c r="H23" i="3" s="1"/>
  <c r="G12" i="1"/>
  <c r="G13" i="1" s="1"/>
  <c r="F12" i="1"/>
  <c r="F13" i="1" s="1"/>
  <c r="E12" i="1"/>
  <c r="E13" i="1" s="1"/>
  <c r="D12" i="1"/>
  <c r="D13" i="1" s="1"/>
  <c r="C12" i="1"/>
  <c r="C13" i="1" s="1"/>
  <c r="B12" i="1"/>
  <c r="B13" i="1" s="1"/>
  <c r="B14" i="1" s="1"/>
  <c r="K11" i="1"/>
  <c r="J11" i="1"/>
  <c r="I11" i="1"/>
  <c r="H11" i="1"/>
  <c r="G11" i="1"/>
  <c r="F11" i="1"/>
  <c r="E11" i="1"/>
  <c r="D11" i="1"/>
  <c r="C11" i="1"/>
  <c r="B11" i="1"/>
  <c r="K10" i="1"/>
  <c r="J10" i="1"/>
  <c r="I10" i="1"/>
  <c r="H10" i="1"/>
  <c r="G10" i="1"/>
  <c r="F10" i="1"/>
  <c r="E10" i="1"/>
  <c r="D10" i="1"/>
  <c r="C10" i="1"/>
  <c r="B10" i="1"/>
  <c r="K9" i="1"/>
  <c r="J9" i="1"/>
  <c r="I9" i="1"/>
  <c r="H9" i="1"/>
  <c r="G9" i="1"/>
  <c r="F9" i="1"/>
  <c r="E9" i="1"/>
  <c r="D9" i="1"/>
  <c r="C9" i="1"/>
  <c r="B9" i="1"/>
  <c r="K8" i="1"/>
  <c r="J8" i="1"/>
  <c r="I8" i="1"/>
  <c r="H8" i="1"/>
  <c r="G8" i="1"/>
  <c r="F8" i="1"/>
  <c r="E8" i="1"/>
  <c r="D8" i="1"/>
  <c r="C8" i="1"/>
  <c r="B8" i="1"/>
  <c r="L7" i="1"/>
  <c r="K7" i="1"/>
  <c r="J7" i="1"/>
  <c r="I7" i="1"/>
  <c r="H7" i="1"/>
  <c r="G7" i="1"/>
  <c r="F7" i="1"/>
  <c r="E7" i="1"/>
  <c r="D7" i="1"/>
  <c r="C7" i="1"/>
  <c r="B7" i="1"/>
  <c r="H6" i="1"/>
  <c r="H19" i="1" s="1"/>
  <c r="G6" i="1"/>
  <c r="G19" i="1" s="1"/>
  <c r="F6" i="1"/>
  <c r="F19" i="1" s="1"/>
  <c r="E6" i="1"/>
  <c r="E19" i="1" s="1"/>
  <c r="K5" i="1"/>
  <c r="J5" i="1"/>
  <c r="I5" i="1"/>
  <c r="H5" i="1"/>
  <c r="G5" i="1"/>
  <c r="F5" i="1"/>
  <c r="E5" i="1"/>
  <c r="D5" i="1"/>
  <c r="D6" i="1" s="1"/>
  <c r="D19" i="1" s="1"/>
  <c r="C5" i="1"/>
  <c r="C6" i="1" s="1"/>
  <c r="C19" i="1" s="1"/>
  <c r="B5" i="1"/>
  <c r="L4" i="1"/>
  <c r="K4" i="1"/>
  <c r="J4" i="1"/>
  <c r="I4" i="1"/>
  <c r="I6" i="1" s="1"/>
  <c r="I19" i="1" s="1"/>
  <c r="H4" i="1"/>
  <c r="H20" i="3" s="1"/>
  <c r="G4" i="1"/>
  <c r="G20" i="3" s="1"/>
  <c r="F4" i="1"/>
  <c r="F20" i="3" s="1"/>
  <c r="E4" i="1"/>
  <c r="E20" i="3" s="1"/>
  <c r="D4" i="1"/>
  <c r="D20" i="3" s="1"/>
  <c r="C4" i="1"/>
  <c r="C20" i="3" s="1"/>
  <c r="B4" i="1"/>
  <c r="K3" i="1"/>
  <c r="J3" i="1"/>
  <c r="I3" i="1"/>
  <c r="H3" i="1"/>
  <c r="G3" i="1"/>
  <c r="F3" i="1"/>
  <c r="E3" i="1"/>
  <c r="D3" i="1"/>
  <c r="C3" i="1"/>
  <c r="B3" i="1"/>
  <c r="A1" i="1"/>
  <c r="A1" i="2" s="1"/>
  <c r="F99" i="7"/>
  <c r="E99" i="7"/>
  <c r="D99" i="7"/>
  <c r="F98" i="7"/>
  <c r="E98" i="7"/>
  <c r="D98" i="7"/>
  <c r="F97" i="7"/>
  <c r="G97" i="7" s="1"/>
  <c r="H97" i="7" s="1"/>
  <c r="I97" i="7" s="1"/>
  <c r="E97" i="7"/>
  <c r="D97" i="7"/>
  <c r="F96" i="7"/>
  <c r="E96" i="7"/>
  <c r="D96" i="7"/>
  <c r="F95" i="7"/>
  <c r="E95" i="7"/>
  <c r="D95" i="7"/>
  <c r="F94" i="7"/>
  <c r="E94" i="7"/>
  <c r="D94" i="7"/>
  <c r="F93" i="7"/>
  <c r="E93" i="7"/>
  <c r="D93" i="7"/>
  <c r="F89" i="7"/>
  <c r="E89" i="7"/>
  <c r="D89" i="7"/>
  <c r="F88" i="7"/>
  <c r="E88" i="7"/>
  <c r="D88" i="7"/>
  <c r="F87" i="7"/>
  <c r="E87" i="7"/>
  <c r="D87" i="7"/>
  <c r="F86" i="7"/>
  <c r="E86" i="7"/>
  <c r="D86" i="7"/>
  <c r="F85" i="7"/>
  <c r="E85" i="7"/>
  <c r="D85" i="7"/>
  <c r="F84" i="7"/>
  <c r="E84" i="7"/>
  <c r="D84" i="7"/>
  <c r="F83" i="7"/>
  <c r="E83" i="7"/>
  <c r="D83" i="7"/>
  <c r="F82" i="7"/>
  <c r="E82" i="7"/>
  <c r="D82" i="7"/>
  <c r="F81" i="7"/>
  <c r="E81" i="7"/>
  <c r="D81" i="7"/>
  <c r="G80" i="7"/>
  <c r="F80" i="7"/>
  <c r="E80" i="7"/>
  <c r="D80" i="7"/>
  <c r="F76" i="7"/>
  <c r="E76" i="7"/>
  <c r="D76" i="7"/>
  <c r="F75" i="7"/>
  <c r="E75" i="7"/>
  <c r="D75" i="7"/>
  <c r="F74" i="7"/>
  <c r="E74" i="7"/>
  <c r="D74" i="7"/>
  <c r="F73" i="7"/>
  <c r="E73" i="7"/>
  <c r="D73" i="7"/>
  <c r="F72" i="7"/>
  <c r="E72" i="7"/>
  <c r="D72" i="7"/>
  <c r="F71" i="7"/>
  <c r="E71" i="7"/>
  <c r="D71" i="7"/>
  <c r="F70" i="7"/>
  <c r="E70" i="7"/>
  <c r="D70" i="7"/>
  <c r="B67" i="7"/>
  <c r="F60" i="7"/>
  <c r="E60" i="7"/>
  <c r="D60" i="7"/>
  <c r="B60" i="7"/>
  <c r="F59" i="7"/>
  <c r="E59" i="7"/>
  <c r="D59" i="7"/>
  <c r="B59" i="7"/>
  <c r="F58" i="7"/>
  <c r="E58" i="7"/>
  <c r="D58" i="7"/>
  <c r="B58" i="7"/>
  <c r="F56" i="7"/>
  <c r="G56" i="7" s="1"/>
  <c r="H56" i="7" s="1"/>
  <c r="I56" i="7" s="1"/>
  <c r="E56" i="7"/>
  <c r="D56" i="7"/>
  <c r="B56" i="7"/>
  <c r="F55" i="7"/>
  <c r="G55" i="7" s="1"/>
  <c r="H55" i="7" s="1"/>
  <c r="I55" i="7" s="1"/>
  <c r="E55" i="7"/>
  <c r="D55" i="7"/>
  <c r="B55" i="7"/>
  <c r="F54" i="7"/>
  <c r="E54" i="7"/>
  <c r="D54" i="7"/>
  <c r="B54" i="7"/>
  <c r="F53" i="7"/>
  <c r="E53" i="7"/>
  <c r="D53" i="7"/>
  <c r="B53" i="7"/>
  <c r="F50" i="7"/>
  <c r="E50" i="7"/>
  <c r="D50" i="7"/>
  <c r="B50" i="7"/>
  <c r="F49" i="7"/>
  <c r="E49" i="7"/>
  <c r="D49" i="7"/>
  <c r="B49" i="7"/>
  <c r="F48" i="7"/>
  <c r="E48" i="7"/>
  <c r="D48" i="7"/>
  <c r="B48" i="7"/>
  <c r="F47" i="7"/>
  <c r="G47" i="7" s="1"/>
  <c r="E47" i="7"/>
  <c r="D47" i="7"/>
  <c r="B47" i="7"/>
  <c r="B46" i="7"/>
  <c r="G44" i="7"/>
  <c r="H44" i="7" s="1"/>
  <c r="I44" i="7" s="1"/>
  <c r="G43" i="7"/>
  <c r="H43" i="7" s="1"/>
  <c r="I43" i="7" s="1"/>
  <c r="H41" i="7"/>
  <c r="H80" i="7" s="1"/>
  <c r="D38" i="7"/>
  <c r="F35" i="7"/>
  <c r="H32" i="7"/>
  <c r="I32" i="7" s="1"/>
  <c r="H24" i="7"/>
  <c r="I24" i="7" s="1"/>
  <c r="B22" i="7"/>
  <c r="F19" i="7"/>
  <c r="E19" i="7"/>
  <c r="D19" i="7"/>
  <c r="F16" i="7"/>
  <c r="E16" i="7"/>
  <c r="D16" i="7"/>
  <c r="F15" i="7"/>
  <c r="E15" i="7"/>
  <c r="D15" i="7"/>
  <c r="F13" i="7"/>
  <c r="F30" i="7" s="1"/>
  <c r="E13" i="7"/>
  <c r="D13" i="7"/>
  <c r="D30" i="7" s="1"/>
  <c r="F11" i="7"/>
  <c r="E11" i="7"/>
  <c r="D11" i="7"/>
  <c r="F10" i="7"/>
  <c r="E10" i="7"/>
  <c r="D10" i="7"/>
  <c r="F9" i="7"/>
  <c r="E9" i="7"/>
  <c r="D9" i="7"/>
  <c r="F7" i="7"/>
  <c r="E7" i="7"/>
  <c r="D7" i="7"/>
  <c r="F6" i="7"/>
  <c r="F44" i="7" s="1"/>
  <c r="E6" i="7"/>
  <c r="E42" i="7" s="1"/>
  <c r="D6" i="7"/>
  <c r="D8" i="7" s="1"/>
  <c r="B5" i="7"/>
  <c r="E29" i="7" l="1"/>
  <c r="E44" i="7"/>
  <c r="F29" i="7"/>
  <c r="D27" i="7"/>
  <c r="E24" i="7"/>
  <c r="E27" i="7"/>
  <c r="F90" i="7"/>
  <c r="D51" i="7"/>
  <c r="D39" i="7"/>
  <c r="D43" i="7"/>
  <c r="E51" i="7"/>
  <c r="E39" i="7"/>
  <c r="D34" i="7"/>
  <c r="D36" i="7" s="1"/>
  <c r="D100" i="7"/>
  <c r="E43" i="7"/>
  <c r="E34" i="7"/>
  <c r="E36" i="7" s="1"/>
  <c r="E100" i="7"/>
  <c r="F43" i="7"/>
  <c r="D29" i="7"/>
  <c r="D44" i="7"/>
  <c r="D25" i="7"/>
  <c r="E28" i="7"/>
  <c r="E40" i="7"/>
  <c r="F100" i="7"/>
  <c r="I41" i="7"/>
  <c r="I80" i="7" s="1"/>
  <c r="D28" i="7"/>
  <c r="D40" i="7"/>
  <c r="E61" i="7"/>
  <c r="E8" i="7"/>
  <c r="E32" i="7"/>
  <c r="D31" i="7"/>
  <c r="G31" i="7" s="1"/>
  <c r="H31" i="7" s="1"/>
  <c r="E31" i="7"/>
  <c r="F38" i="7"/>
  <c r="D57" i="7"/>
  <c r="D42" i="7"/>
  <c r="E57" i="7"/>
  <c r="E30" i="7"/>
  <c r="F57" i="7"/>
  <c r="D32" i="7"/>
  <c r="F61" i="7"/>
  <c r="D90" i="7"/>
  <c r="F25" i="7"/>
  <c r="F32" i="7"/>
  <c r="E35" i="7"/>
  <c r="H10" i="8"/>
  <c r="H12" i="8"/>
  <c r="K12" i="8" s="1"/>
  <c r="G30" i="7"/>
  <c r="H30" i="7" s="1"/>
  <c r="I30" i="7" s="1"/>
  <c r="J25" i="1"/>
  <c r="J24" i="1"/>
  <c r="G18" i="13"/>
  <c r="H43" i="13" s="1"/>
  <c r="H49" i="13" s="1"/>
  <c r="H51" i="13" s="1"/>
  <c r="I18" i="13"/>
  <c r="I43" i="13" s="1"/>
  <c r="I49" i="13" s="1"/>
  <c r="I51" i="13" s="1"/>
  <c r="I58" i="13" s="1"/>
  <c r="G29" i="7"/>
  <c r="H29" i="7"/>
  <c r="I29" i="7"/>
  <c r="K10" i="8"/>
  <c r="D26" i="7"/>
  <c r="D12" i="7"/>
  <c r="D14" i="7" s="1"/>
  <c r="D18" i="7" s="1"/>
  <c r="G54" i="7"/>
  <c r="N9" i="1"/>
  <c r="M9" i="1"/>
  <c r="E16" i="3"/>
  <c r="N8" i="1"/>
  <c r="M8" i="1"/>
  <c r="F16" i="3"/>
  <c r="H45" i="13"/>
  <c r="H47" i="13" s="1"/>
  <c r="I45" i="13"/>
  <c r="I47" i="13" s="1"/>
  <c r="I24" i="3"/>
  <c r="J45" i="13"/>
  <c r="J47" i="13" s="1"/>
  <c r="F37" i="7"/>
  <c r="F42" i="7"/>
  <c r="J24" i="3"/>
  <c r="G30" i="13"/>
  <c r="G32" i="13" s="1"/>
  <c r="K45" i="13"/>
  <c r="K47" i="13" s="1"/>
  <c r="K24" i="3"/>
  <c r="E24" i="3"/>
  <c r="H13" i="8"/>
  <c r="K13" i="8" s="1"/>
  <c r="H30" i="13"/>
  <c r="H32" i="13" s="1"/>
  <c r="H34" i="13" s="1"/>
  <c r="H37" i="13" s="1"/>
  <c r="H59" i="13" s="1"/>
  <c r="F51" i="7"/>
  <c r="D77" i="7"/>
  <c r="D102" i="7" s="1"/>
  <c r="I30" i="13"/>
  <c r="I32" i="13" s="1"/>
  <c r="J30" i="13"/>
  <c r="J32" i="13" s="1"/>
  <c r="C23" i="3"/>
  <c r="D24" i="3"/>
  <c r="C24" i="3"/>
  <c r="H24" i="1"/>
  <c r="N24" i="1" s="1"/>
  <c r="H23" i="1"/>
  <c r="N23" i="1" s="1"/>
  <c r="N4" i="1" s="1"/>
  <c r="B20" i="3"/>
  <c r="H47" i="7"/>
  <c r="L13" i="1"/>
  <c r="L14" i="1" s="1"/>
  <c r="L25" i="1" s="1"/>
  <c r="D35" i="7"/>
  <c r="D61" i="7"/>
  <c r="D63" i="7" s="1"/>
  <c r="D65" i="7" s="1"/>
  <c r="E26" i="7"/>
  <c r="E12" i="7"/>
  <c r="E14" i="7" s="1"/>
  <c r="E18" i="7" s="1"/>
  <c r="E25" i="7"/>
  <c r="B6" i="1"/>
  <c r="B19" i="1" s="1"/>
  <c r="I14" i="8"/>
  <c r="H14" i="8"/>
  <c r="K14" i="8" s="1"/>
  <c r="J10" i="13"/>
  <c r="J18" i="13" s="1"/>
  <c r="J43" i="13" s="1"/>
  <c r="J49" i="13" s="1"/>
  <c r="J51" i="13" s="1"/>
  <c r="J58" i="13" s="1"/>
  <c r="E38" i="7"/>
  <c r="E90" i="7"/>
  <c r="K23" i="1"/>
  <c r="K6" i="1"/>
  <c r="K19" i="1" s="1"/>
  <c r="J23" i="1"/>
  <c r="K20" i="3"/>
  <c r="I23" i="1"/>
  <c r="K10" i="13"/>
  <c r="K18" i="13" s="1"/>
  <c r="K34" i="13" s="1"/>
  <c r="K37" i="13" s="1"/>
  <c r="K59" i="13" s="1"/>
  <c r="E37" i="7"/>
  <c r="G40" i="7"/>
  <c r="D14" i="1"/>
  <c r="E77" i="7"/>
  <c r="I21" i="3"/>
  <c r="C29" i="8"/>
  <c r="I11" i="8"/>
  <c r="H11" i="8"/>
  <c r="K11" i="8" s="1"/>
  <c r="F27" i="7"/>
  <c r="F39" i="7"/>
  <c r="F77" i="7"/>
  <c r="J21" i="3"/>
  <c r="F28" i="7"/>
  <c r="J14" i="2"/>
  <c r="K21" i="3"/>
  <c r="G16" i="13"/>
  <c r="K14" i="2"/>
  <c r="L6" i="1"/>
  <c r="L19" i="1" s="1"/>
  <c r="L24" i="1" s="1"/>
  <c r="I16" i="13"/>
  <c r="F8" i="7"/>
  <c r="F34" i="7"/>
  <c r="F31" i="7"/>
  <c r="F24" i="7"/>
  <c r="G6" i="7"/>
  <c r="F40" i="7"/>
  <c r="L23" i="1"/>
  <c r="J6" i="1"/>
  <c r="J19" i="1" s="1"/>
  <c r="K24" i="1" s="1"/>
  <c r="M24" i="1" s="1"/>
  <c r="C14" i="1"/>
  <c r="H25" i="1" s="1"/>
  <c r="I24" i="1"/>
  <c r="L11" i="1"/>
  <c r="N11" i="1" s="1"/>
  <c r="B23" i="3"/>
  <c r="B16" i="3"/>
  <c r="A1" i="3"/>
  <c r="A1" i="4" s="1"/>
  <c r="F102" i="7" l="1"/>
  <c r="G39" i="7"/>
  <c r="H39" i="7" s="1"/>
  <c r="I39" i="7" s="1"/>
  <c r="G27" i="7"/>
  <c r="I27" i="7" s="1"/>
  <c r="E63" i="7"/>
  <c r="E65" i="7" s="1"/>
  <c r="H27" i="7"/>
  <c r="E102" i="7"/>
  <c r="F63" i="7"/>
  <c r="F65" i="7" s="1"/>
  <c r="I16" i="8"/>
  <c r="K54" i="13"/>
  <c r="F7" i="14" s="1"/>
  <c r="G7" i="14" s="1"/>
  <c r="H7" i="14" s="1"/>
  <c r="I7" i="14" s="1"/>
  <c r="J7" i="14" s="1"/>
  <c r="K7" i="14" s="1"/>
  <c r="H58" i="13"/>
  <c r="H61" i="13" s="1"/>
  <c r="N6" i="1"/>
  <c r="N10" i="1" s="1"/>
  <c r="N12" i="1" s="1"/>
  <c r="N13" i="1" s="1"/>
  <c r="N5" i="1"/>
  <c r="D20" i="7"/>
  <c r="D33" i="7"/>
  <c r="I17" i="8"/>
  <c r="E29" i="8" s="1"/>
  <c r="M11" i="1"/>
  <c r="H40" i="7"/>
  <c r="I40" i="7" s="1"/>
  <c r="E20" i="7"/>
  <c r="E33" i="7"/>
  <c r="G25" i="7"/>
  <c r="G7" i="7" s="1"/>
  <c r="I31" i="7"/>
  <c r="I34" i="13"/>
  <c r="I37" i="13" s="1"/>
  <c r="I59" i="13" s="1"/>
  <c r="I61" i="13" s="1"/>
  <c r="F36" i="7"/>
  <c r="I47" i="7"/>
  <c r="K17" i="8"/>
  <c r="K28" i="8" s="1"/>
  <c r="K16" i="8"/>
  <c r="H17" i="8"/>
  <c r="H16" i="8"/>
  <c r="G99" i="7"/>
  <c r="G16" i="7"/>
  <c r="G96" i="7" s="1"/>
  <c r="G13" i="7"/>
  <c r="G53" i="7" s="1"/>
  <c r="G49" i="7"/>
  <c r="G98" i="7"/>
  <c r="G15" i="7"/>
  <c r="G10" i="7"/>
  <c r="H6" i="7"/>
  <c r="G28" i="7"/>
  <c r="G9" i="7" s="1"/>
  <c r="D37" i="7"/>
  <c r="G37" i="7" s="1"/>
  <c r="G35" i="7"/>
  <c r="G34" i="13"/>
  <c r="G37" i="13" s="1"/>
  <c r="G59" i="13" s="1"/>
  <c r="M23" i="1"/>
  <c r="M4" i="1" s="1"/>
  <c r="G34" i="7"/>
  <c r="H34" i="7" s="1"/>
  <c r="G42" i="7"/>
  <c r="H42" i="7" s="1"/>
  <c r="K43" i="13"/>
  <c r="K49" i="13" s="1"/>
  <c r="K51" i="13" s="1"/>
  <c r="K58" i="13" s="1"/>
  <c r="K61" i="13" s="1"/>
  <c r="J34" i="13"/>
  <c r="J37" i="13" s="1"/>
  <c r="J59" i="13" s="1"/>
  <c r="J61" i="13" s="1"/>
  <c r="F26" i="7"/>
  <c r="F12" i="7"/>
  <c r="F14" i="7" s="1"/>
  <c r="F4" i="14" s="1"/>
  <c r="C31" i="8"/>
  <c r="G38" i="7"/>
  <c r="G89" i="7"/>
  <c r="G90" i="7" s="1"/>
  <c r="H54" i="7"/>
  <c r="K25" i="1"/>
  <c r="M25" i="1" s="1"/>
  <c r="M14" i="1" s="1"/>
  <c r="I25" i="1"/>
  <c r="N25" i="1" s="1"/>
  <c r="N14" i="1" s="1"/>
  <c r="G11" i="7" l="1"/>
  <c r="H25" i="7"/>
  <c r="I25" i="7" s="1"/>
  <c r="G50" i="7"/>
  <c r="G73" i="7" s="1"/>
  <c r="I42" i="7"/>
  <c r="I34" i="7"/>
  <c r="D31" i="8"/>
  <c r="D30" i="8"/>
  <c r="D29" i="8"/>
  <c r="D33" i="8" s="1"/>
  <c r="H49" i="7"/>
  <c r="H16" i="7"/>
  <c r="H96" i="7" s="1"/>
  <c r="H13" i="7"/>
  <c r="H98" i="7"/>
  <c r="H15" i="7"/>
  <c r="H11" i="7"/>
  <c r="H9" i="7"/>
  <c r="H10" i="7"/>
  <c r="I6" i="7"/>
  <c r="H50" i="7"/>
  <c r="H99" i="7"/>
  <c r="H7" i="7"/>
  <c r="H8" i="7" s="1"/>
  <c r="F18" i="7"/>
  <c r="H37" i="7"/>
  <c r="I37" i="7" s="1"/>
  <c r="G59" i="7"/>
  <c r="G72" i="7" s="1"/>
  <c r="K39" i="8"/>
  <c r="E30" i="8"/>
  <c r="K36" i="8" s="1"/>
  <c r="G95" i="7"/>
  <c r="G94" i="7"/>
  <c r="G100" i="7" s="1"/>
  <c r="H53" i="7"/>
  <c r="G57" i="7"/>
  <c r="N15" i="1"/>
  <c r="G36" i="7"/>
  <c r="G8" i="7"/>
  <c r="M6" i="1"/>
  <c r="M10" i="1" s="1"/>
  <c r="M12" i="1" s="1"/>
  <c r="M13" i="1" s="1"/>
  <c r="M15" i="1" s="1"/>
  <c r="M5" i="1"/>
  <c r="K64" i="13"/>
  <c r="D14" i="14" s="1"/>
  <c r="K63" i="13"/>
  <c r="H89" i="7"/>
  <c r="H90" i="7" s="1"/>
  <c r="I54" i="7"/>
  <c r="I89" i="7" s="1"/>
  <c r="I90" i="7" s="1"/>
  <c r="K53" i="13"/>
  <c r="H35" i="7"/>
  <c r="I35" i="7" s="1"/>
  <c r="H38" i="7"/>
  <c r="I38" i="7" s="1"/>
  <c r="H28" i="7"/>
  <c r="I28" i="7" s="1"/>
  <c r="H73" i="7" l="1"/>
  <c r="H57" i="7"/>
  <c r="F20" i="7"/>
  <c r="F33" i="7"/>
  <c r="G12" i="7"/>
  <c r="G14" i="7" s="1"/>
  <c r="G18" i="7" s="1"/>
  <c r="G26" i="7"/>
  <c r="F6" i="14"/>
  <c r="F8" i="14" s="1"/>
  <c r="G4" i="14"/>
  <c r="E33" i="8"/>
  <c r="K29" i="8" s="1"/>
  <c r="K31" i="8" s="1"/>
  <c r="K23" i="8" s="1"/>
  <c r="K24" i="8" s="1"/>
  <c r="K35" i="8" s="1"/>
  <c r="K41" i="8" s="1"/>
  <c r="D16" i="14" s="1"/>
  <c r="G58" i="7"/>
  <c r="H36" i="7"/>
  <c r="H59" i="7"/>
  <c r="H72" i="7" s="1"/>
  <c r="I16" i="7"/>
  <c r="I96" i="7" s="1"/>
  <c r="I8" i="7"/>
  <c r="I98" i="7"/>
  <c r="I13" i="7"/>
  <c r="I53" i="7" s="1"/>
  <c r="I57" i="7" s="1"/>
  <c r="I49" i="7"/>
  <c r="I10" i="7"/>
  <c r="I9" i="7"/>
  <c r="I15" i="7"/>
  <c r="I99" i="7"/>
  <c r="I11" i="7"/>
  <c r="I50" i="7"/>
  <c r="I73" i="7" s="1"/>
  <c r="I7" i="7"/>
  <c r="I59" i="7" s="1"/>
  <c r="H12" i="7"/>
  <c r="H14" i="7" s="1"/>
  <c r="H18" i="7" s="1"/>
  <c r="H26" i="7"/>
  <c r="H94" i="7"/>
  <c r="H95" i="7"/>
  <c r="H70" i="7" l="1"/>
  <c r="H19" i="7"/>
  <c r="H76" i="7" s="1"/>
  <c r="J10" i="14"/>
  <c r="I10" i="14"/>
  <c r="H10" i="14"/>
  <c r="G10" i="14"/>
  <c r="K10" i="14"/>
  <c r="D21" i="14"/>
  <c r="H19" i="14" s="1"/>
  <c r="I12" i="7"/>
  <c r="I14" i="7" s="1"/>
  <c r="I18" i="7" s="1"/>
  <c r="I26" i="7"/>
  <c r="H100" i="7"/>
  <c r="H58" i="7"/>
  <c r="I36" i="7"/>
  <c r="I58" i="7" s="1"/>
  <c r="G71" i="7"/>
  <c r="G75" i="7" s="1"/>
  <c r="I72" i="7"/>
  <c r="G6" i="14"/>
  <c r="G8" i="14" s="1"/>
  <c r="H4" i="14"/>
  <c r="G70" i="7"/>
  <c r="G19" i="7"/>
  <c r="G76" i="7" s="1"/>
  <c r="I94" i="7"/>
  <c r="I95" i="7"/>
  <c r="I100" i="7" l="1"/>
  <c r="H20" i="7"/>
  <c r="I71" i="7"/>
  <c r="I75" i="7" s="1"/>
  <c r="I19" i="7"/>
  <c r="I76" i="7" s="1"/>
  <c r="I70" i="7"/>
  <c r="I20" i="7"/>
  <c r="G77" i="7"/>
  <c r="G102" i="7" s="1"/>
  <c r="G60" i="7" s="1"/>
  <c r="G20" i="7"/>
  <c r="G48" i="7" s="1"/>
  <c r="H6" i="14"/>
  <c r="H8" i="14" s="1"/>
  <c r="H12" i="14" s="1"/>
  <c r="I4" i="14"/>
  <c r="H71" i="7"/>
  <c r="H75" i="7" s="1"/>
  <c r="H77" i="7" s="1"/>
  <c r="H102" i="7" s="1"/>
  <c r="G12" i="14"/>
  <c r="I6" i="14" l="1"/>
  <c r="I8" i="14" s="1"/>
  <c r="J4" i="14"/>
  <c r="H60" i="7"/>
  <c r="G61" i="7"/>
  <c r="G63" i="7" s="1"/>
  <c r="I77" i="7"/>
  <c r="I102" i="7" s="1"/>
  <c r="H48" i="7"/>
  <c r="G51" i="7"/>
  <c r="G65" i="7" l="1"/>
  <c r="I48" i="7"/>
  <c r="I51" i="7" s="1"/>
  <c r="H51" i="7"/>
  <c r="I60" i="7"/>
  <c r="I61" i="7" s="1"/>
  <c r="I63" i="7" s="1"/>
  <c r="I65" i="7" s="1"/>
  <c r="H61" i="7"/>
  <c r="H63" i="7" s="1"/>
  <c r="H65" i="7" s="1"/>
  <c r="K4" i="14"/>
  <c r="K6" i="14" s="1"/>
  <c r="K8" i="14" s="1"/>
  <c r="J6" i="14"/>
  <c r="J8" i="14" s="1"/>
  <c r="J12" i="14" s="1"/>
  <c r="I12" i="14"/>
  <c r="H24" i="14"/>
  <c r="H23" i="14"/>
  <c r="H22" i="14"/>
  <c r="H21" i="14"/>
  <c r="K12" i="14" l="1"/>
  <c r="D28" i="14" s="1"/>
  <c r="D20" i="14"/>
  <c r="D24" i="14" s="1"/>
  <c r="D29" i="14" s="1"/>
  <c r="H20" i="14"/>
  <c r="D30" i="14" l="1"/>
  <c r="D34" i="14" s="1"/>
  <c r="D37" i="14" s="1"/>
  <c r="D40" i="14" s="1"/>
  <c r="F1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0" authorId="0" shapeId="0" xr:uid="{00000000-0006-0000-0600-000001000000}">
      <text>
        <r>
          <rPr>
            <sz val="10"/>
            <rFont val="Arial"/>
            <family val="2"/>
          </rPr>
          <t xml:space="preserve">Ayush Kumar:
Net Income here is after deducting Exceptional Items (D17=8819, E17=193, F17=1979). P&amp;L sheet shows -4437 Cr (2024) which excludes exceptionals from the bottom line. This is intentional — FM model treats exceptionals as an above-the-line EBT deduction. If exceptionals should be excluded from forecast base, set D17=E17=F17=0 and recalculate.
</t>
        </r>
      </text>
    </comment>
    <comment ref="D38" authorId="0" shapeId="0" xr:uid="{00000000-0006-0000-0600-000002000000}">
      <text>
        <r>
          <rPr>
            <sz val="10"/>
            <rFont val="Arial"/>
            <family val="2"/>
          </rPr>
          <t>Ayush Kumar:
NOTE: Payable Days are approximated using Other Liabilities as a proxy because standalone trade payables are not separately disclosed in this data source. Treat with caution — true DPO is likely 60–90 days.</t>
        </r>
      </text>
    </comment>
    <comment ref="E38" authorId="0" shapeId="0" xr:uid="{00000000-0006-0000-0600-000003000000}">
      <text>
        <r>
          <rPr>
            <sz val="10"/>
            <rFont val="Arial"/>
            <family val="2"/>
          </rPr>
          <t>Ayush Kumar:
NOTE: Payable Days are approximated using Other Liabilities as a proxy because standalone trade payables are not separately disclosed in this data source. Treat with caution — true DPO is likely 60–90 days.</t>
        </r>
      </text>
    </comment>
    <comment ref="F38" authorId="0" shapeId="0" xr:uid="{00000000-0006-0000-0600-000004000000}">
      <text>
        <r>
          <rPr>
            <sz val="10"/>
            <rFont val="Arial"/>
            <family val="2"/>
          </rPr>
          <t>Ayush Kumar:
NOTE: Payable Days are approximated using Other Liabilities as a proxy because standalone trade payables are not separately disclosed in this data source. Treat with caution — true DPO is likely 60–90 days.</t>
        </r>
      </text>
    </comment>
    <comment ref="G43" authorId="0" shapeId="0" xr:uid="{00000000-0006-0000-0600-000005000000}">
      <text>
        <r>
          <rPr>
            <sz val="10"/>
            <rFont val="Arial"/>
            <family val="2"/>
          </rPr>
          <t>Ayush Kumar:
Assumption: Forecast financial-liability cash flow set to zero because no corresponding balance sheet liability line is modeled.</t>
        </r>
      </text>
    </comment>
    <comment ref="G44" authorId="0" shapeId="0" xr:uid="{00000000-0006-0000-0600-000006000000}">
      <text>
        <r>
          <rPr>
            <sz val="10"/>
            <rFont val="Arial"/>
            <family val="2"/>
          </rPr>
          <t>Ayush Kumar:
Assumption: Forecast other financing items set to zero because no corresponding balance sheet account is modeled.</t>
        </r>
      </text>
    </comment>
    <comment ref="G70" authorId="0" shapeId="0" xr:uid="{00000000-0006-0000-0600-000007000000}">
      <text>
        <r>
          <rPr>
            <sz val="10"/>
            <rFont val="Arial"/>
            <family val="2"/>
          </rPr>
          <t>Ayush Kumar:
Forecast formula: PBT + interest + depreciation so total cash flow reconciles after tax and interest paid.</t>
        </r>
      </text>
    </comment>
    <comment ref="G74" authorId="0" shapeId="0" xr:uid="{00000000-0006-0000-0600-000008000000}">
      <text>
        <r>
          <rPr>
            <sz val="10"/>
            <rFont val="Arial"/>
            <family val="2"/>
          </rPr>
          <t>Ayush Kumar:
Other Assets held flat in forecast — no WC movement modelled here. Zero is intentional, not a formula artefact.</t>
        </r>
      </text>
    </comment>
    <comment ref="G89" authorId="0" shapeId="0" xr:uid="{00000000-0006-0000-0600-000009000000}">
      <text>
        <r>
          <rPr>
            <sz val="10"/>
            <rFont val="Arial"/>
            <family val="2"/>
          </rPr>
          <t>Ayush Kumar:
Forecast formula: includes changes in CWIP and investments not captured in fixed asset capex row.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1" authorId="0" shapeId="0" xr:uid="{00000000-0006-0000-0700-000001000000}">
      <text>
        <r>
          <rPr>
            <sz val="10"/>
            <rFont val="Arial"/>
            <family val="2"/>
          </rPr>
          <t xml:space="preserve">Ayush Kumar:
Interest Of 12 Months divided by the Total debt of Tata Steel Ltd.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33" authorId="0" shapeId="0" xr:uid="{00000000-0006-0000-0D00-000001000000}">
      <text>
        <r>
          <rPr>
            <sz val="10"/>
            <rFont val="Arial"/>
            <family val="2"/>
          </rPr>
          <t>Gross Debt = Long-Term Borrowings + Short-Term Borrowings (per Raw FS). Excludes lease liabilities (~₹7,425 Cr) and preference capital. Source: Raw FS sheet rows 8+9, FY2024 column.</t>
        </r>
      </text>
    </comment>
  </commentList>
</comments>
</file>

<file path=xl/sharedStrings.xml><?xml version="1.0" encoding="utf-8"?>
<sst xmlns="http://schemas.openxmlformats.org/spreadsheetml/2006/main" count="506" uniqueCount="356">
  <si>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</si>
  <si>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</si>
  <si>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</si>
  <si>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</si>
  <si>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</si>
  <si>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</si>
  <si>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</si>
  <si>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</si>
  <si>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</si>
  <si>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</si>
  <si>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</si>
  <si>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</si>
  <si>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</si>
  <si>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</si>
  <si>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</si>
  <si>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</si>
  <si>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</si>
  <si>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</si>
  <si>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</si>
  <si>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</si>
  <si>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</si>
  <si>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</si>
  <si>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</si>
  <si>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</si>
  <si>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</si>
  <si>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</si>
  <si>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</si>
  <si>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</si>
  <si>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</si>
  <si>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</si>
  <si>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</si>
  <si>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</si>
  <si>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</si>
  <si>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</si>
  <si>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</si>
  <si>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</si>
  <si>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</si>
  <si>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</si>
  <si>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</si>
  <si>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</si>
  <si>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</si>
  <si>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</si>
  <si>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</si>
  <si>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</si>
  <si>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</si>
  <si>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</si>
  <si>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</si>
  <si>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</si>
  <si>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</si>
  <si>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</si>
  <si>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</si>
  <si>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</si>
  <si>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</si>
  <si>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</si>
  <si>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</si>
  <si>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</si>
  <si>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</si>
  <si>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</si>
  <si>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</si>
  <si>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</si>
  <si>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</si>
  <si>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</si>
  <si>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TATA STEEL LTD.</t>
  </si>
  <si>
    <t>IN Crores</t>
  </si>
  <si>
    <t>#</t>
  </si>
  <si>
    <t>Revenue</t>
  </si>
  <si>
    <t>COGS</t>
  </si>
  <si>
    <t xml:space="preserve">Gross Profit </t>
  </si>
  <si>
    <t xml:space="preserve">Selling and Administration </t>
  </si>
  <si>
    <t>Other Expenses</t>
  </si>
  <si>
    <t xml:space="preserve">Employee Cost </t>
  </si>
  <si>
    <t>EBITDA</t>
  </si>
  <si>
    <t xml:space="preserve">EBIT </t>
  </si>
  <si>
    <t xml:space="preserve">Other Income </t>
  </si>
  <si>
    <t xml:space="preserve">Interest </t>
  </si>
  <si>
    <t xml:space="preserve">Exceptional Items </t>
  </si>
  <si>
    <t>EBT</t>
  </si>
  <si>
    <t>Taxes</t>
  </si>
  <si>
    <t>Net Income</t>
  </si>
  <si>
    <t xml:space="preserve">    Revenue Growth (%)</t>
  </si>
  <si>
    <t>NA</t>
  </si>
  <si>
    <t xml:space="preserve">    COGS as % of Revenue</t>
  </si>
  <si>
    <t xml:space="preserve">    Gross Margin (%)</t>
  </si>
  <si>
    <t xml:space="preserve">    Employee Cost as % Rev</t>
  </si>
  <si>
    <t xml:space="preserve">    SG&amp;A as % Revenue</t>
  </si>
  <si>
    <t xml:space="preserve">    Other Expenses as % Rev</t>
  </si>
  <si>
    <t xml:space="preserve">    Depreciation % Revenue </t>
  </si>
  <si>
    <t xml:space="preserve">    Interest Expense % Revenue </t>
  </si>
  <si>
    <t xml:space="preserve">    Other Income % Revenue</t>
  </si>
  <si>
    <t xml:space="preserve">    Effective Tax Rate (%)</t>
  </si>
  <si>
    <t xml:space="preserve">Receivables % of Revenue </t>
  </si>
  <si>
    <t xml:space="preserve">Inventory % of COGS </t>
  </si>
  <si>
    <t>Receivables Days</t>
  </si>
  <si>
    <t xml:space="preserve">Inventory Days </t>
  </si>
  <si>
    <t xml:space="preserve">Payable Days </t>
  </si>
  <si>
    <t xml:space="preserve">Net Block % Revenue </t>
  </si>
  <si>
    <t xml:space="preserve">Debt % Revenue </t>
  </si>
  <si>
    <t>CapEx</t>
  </si>
  <si>
    <t xml:space="preserve">Other Liabilities % Revenue </t>
  </si>
  <si>
    <t>Financial Liabilities % Revenue</t>
  </si>
  <si>
    <t>Other Financing Items % Revenue</t>
  </si>
  <si>
    <t>Total Liabilities</t>
  </si>
  <si>
    <t>Total Non-Current Assets</t>
  </si>
  <si>
    <t>Total Current Assets</t>
  </si>
  <si>
    <t>Total Assets</t>
  </si>
  <si>
    <t>Check</t>
  </si>
  <si>
    <t>Operating Activities</t>
  </si>
  <si>
    <t>Profit from operations</t>
  </si>
  <si>
    <t>Receivables</t>
  </si>
  <si>
    <t>Payables</t>
  </si>
  <si>
    <t>Other WC items</t>
  </si>
  <si>
    <t>Working capital changes</t>
  </si>
  <si>
    <t>Direct taxes</t>
  </si>
  <si>
    <t xml:space="preserve">Cash from Operating Activity </t>
  </si>
  <si>
    <t>Investing Activities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</si>
  <si>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</si>
  <si>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</si>
  <si>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</si>
  <si>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</si>
  <si>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</si>
  <si>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</si>
  <si>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</si>
  <si>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</si>
  <si>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Inter corporate deposits</t>
  </si>
  <si>
    <t>Other investing items</t>
  </si>
  <si>
    <t>Cash From Investing Activities</t>
  </si>
  <si>
    <t>Financing Activities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</si>
  <si>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</si>
  <si>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</si>
  <si>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</si>
  <si>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</si>
  <si>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</si>
  <si>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</si>
  <si>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</si>
  <si>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Financing Activities</t>
  </si>
  <si>
    <t>NET CASH FLOWS</t>
  </si>
  <si>
    <t xml:space="preserve">Weighted Average Cost Of Capital </t>
  </si>
  <si>
    <t>All Figures are in INR (Unless Stated)</t>
  </si>
  <si>
    <t>Peer Comps</t>
  </si>
  <si>
    <t>Debt /</t>
  </si>
  <si>
    <t>Debt/</t>
  </si>
  <si>
    <t xml:space="preserve">Levered </t>
  </si>
  <si>
    <t xml:space="preserve">Unlevered </t>
  </si>
  <si>
    <t>Name of the Comp</t>
  </si>
  <si>
    <t>Country</t>
  </si>
  <si>
    <t xml:space="preserve">Total Debt </t>
  </si>
  <si>
    <t xml:space="preserve">Total Equity </t>
  </si>
  <si>
    <t>Tax Rate 1</t>
  </si>
  <si>
    <t>Equity</t>
  </si>
  <si>
    <t>Capital</t>
  </si>
  <si>
    <t>Beta 2</t>
  </si>
  <si>
    <t>Beta 3</t>
  </si>
  <si>
    <t>JSW Steel</t>
  </si>
  <si>
    <t>India</t>
  </si>
  <si>
    <t>Tata Steel</t>
  </si>
  <si>
    <t>Jindal Steel</t>
  </si>
  <si>
    <t>S A I L</t>
  </si>
  <si>
    <t>Jindal Stain.</t>
  </si>
  <si>
    <t xml:space="preserve">Average </t>
  </si>
  <si>
    <t xml:space="preserve">Median </t>
  </si>
  <si>
    <t xml:space="preserve">Cost of Debt </t>
  </si>
  <si>
    <t xml:space="preserve">Pre-Tax Cost of Debt </t>
  </si>
  <si>
    <t xml:space="preserve">Risk Free Rate </t>
  </si>
  <si>
    <t xml:space="preserve">Tax Rate </t>
  </si>
  <si>
    <t xml:space="preserve">Equity Risk Premium </t>
  </si>
  <si>
    <t xml:space="preserve">Post-Tax Cost of Debt </t>
  </si>
  <si>
    <t>Levered Beta 4</t>
  </si>
  <si>
    <t xml:space="preserve">Cost of Equity </t>
  </si>
  <si>
    <t xml:space="preserve">Capital Structure </t>
  </si>
  <si>
    <t xml:space="preserve">Levered Beta </t>
  </si>
  <si>
    <t xml:space="preserve"> </t>
  </si>
  <si>
    <t xml:space="preserve">Current </t>
  </si>
  <si>
    <t xml:space="preserve">Target </t>
  </si>
  <si>
    <t xml:space="preserve">Comps Median Unlevered Beta </t>
  </si>
  <si>
    <t xml:space="preserve">Target Debt / Equity </t>
  </si>
  <si>
    <t>Market Capitalization</t>
  </si>
  <si>
    <t xml:space="preserve">Total Capital </t>
  </si>
  <si>
    <t xml:space="preserve">Debt / Equity </t>
  </si>
  <si>
    <t xml:space="preserve">Weighted Average Cost of Capital </t>
  </si>
  <si>
    <t xml:space="preserve">Cost Of Equity </t>
  </si>
  <si>
    <t>Notes:</t>
  </si>
  <si>
    <t xml:space="preserve">Equity Weight </t>
  </si>
  <si>
    <t xml:space="preserve">1. Tax Rate Considered as Marginal Tax for the Country </t>
  </si>
  <si>
    <t xml:space="preserve">2. Levered Beta is based on 5 year Monthly Data </t>
  </si>
  <si>
    <t xml:space="preserve">Cost Of Debt </t>
  </si>
  <si>
    <t>3. Levered Beta = Unlevered beta/(1+(1-Tax rate)*Debt/Equity)</t>
  </si>
  <si>
    <t xml:space="preserve">Debt Weight </t>
  </si>
  <si>
    <t>4. Unlevered Beta = Levered beta/(1+(1-Tax rate)*Debt/Equity)</t>
  </si>
  <si>
    <t>WACC</t>
  </si>
  <si>
    <t>REGRESSION Beta - Tata Steel Ltd</t>
  </si>
  <si>
    <t>TATA STEEL MONTHLY RETURNS</t>
  </si>
  <si>
    <t>NIFTY MONTHLY RETURNS</t>
  </si>
  <si>
    <t>Beta Drifting</t>
  </si>
  <si>
    <t>Date</t>
  </si>
  <si>
    <t>Closing Return</t>
  </si>
  <si>
    <t>Weekly Return</t>
  </si>
  <si>
    <t xml:space="preserve">BETA </t>
  </si>
  <si>
    <t xml:space="preserve">Raw Beta Weight </t>
  </si>
  <si>
    <t xml:space="preserve">Mean/Marked Beta </t>
  </si>
  <si>
    <t>Market Beta Weight</t>
  </si>
  <si>
    <t xml:space="preserve">Adjusted Beta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</si>
  <si>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</si>
  <si>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</si>
  <si>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</si>
  <si>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</si>
  <si>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</si>
  <si>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</si>
  <si>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</si>
  <si>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</si>
  <si>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</si>
  <si>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</si>
  <si>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</si>
  <si>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</si>
  <si>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</si>
  <si>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</si>
  <si>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</si>
  <si>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</si>
  <si>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</si>
  <si>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</si>
  <si>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</si>
  <si>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</si>
  <si>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</si>
  <si>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</si>
  <si>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</si>
  <si>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</si>
  <si>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S.No.</t>
  </si>
  <si>
    <t>Name</t>
  </si>
  <si>
    <t>CMP Rs.</t>
  </si>
  <si>
    <t xml:space="preserve">Mar Cap Rs.Cr. </t>
  </si>
  <si>
    <t>Debt / Eq</t>
  </si>
  <si>
    <t>Debt Rs.Cr.</t>
  </si>
  <si>
    <t xml:space="preserve">Return On Markets </t>
  </si>
  <si>
    <t>Year</t>
  </si>
  <si>
    <t>Annual</t>
  </si>
  <si>
    <t>Average Return</t>
  </si>
  <si>
    <t>Dividend Yield</t>
  </si>
  <si>
    <t>1.3% 1</t>
  </si>
  <si>
    <t>Total Market Return</t>
  </si>
  <si>
    <t>Calculation Of ROIC</t>
  </si>
  <si>
    <t>Current Assets</t>
  </si>
  <si>
    <t xml:space="preserve">Total Current Assets </t>
  </si>
  <si>
    <t>Current Liabilities</t>
  </si>
  <si>
    <t>Total Current Liabilities</t>
  </si>
  <si>
    <t>Net Working Capital</t>
  </si>
  <si>
    <t>Non-Current Assets</t>
  </si>
  <si>
    <t>Gross Block</t>
  </si>
  <si>
    <t>Accumulated Depreciation</t>
  </si>
  <si>
    <t>Net Non-Current Assets</t>
  </si>
  <si>
    <t>Invested Capital</t>
  </si>
  <si>
    <t>EBIT</t>
  </si>
  <si>
    <t>Return On Invested Capital</t>
  </si>
  <si>
    <t>Calculation Of Reinvested Rates</t>
  </si>
  <si>
    <t>Net CapEx</t>
  </si>
  <si>
    <t>Change In working capital</t>
  </si>
  <si>
    <t xml:space="preserve">Marginal Tax Rate </t>
  </si>
  <si>
    <t>EBIT(1-T)</t>
  </si>
  <si>
    <t>Reinvestment</t>
  </si>
  <si>
    <t xml:space="preserve">Reinvestment Rate </t>
  </si>
  <si>
    <t xml:space="preserve">4 Year Average </t>
  </si>
  <si>
    <t>4 Year Median</t>
  </si>
  <si>
    <t xml:space="preserve">Calculation Of Growth Rate </t>
  </si>
  <si>
    <t>ROIC</t>
  </si>
  <si>
    <t>INTRINSIC GROWTH</t>
  </si>
  <si>
    <t>Calculation Of PV of FCFF</t>
  </si>
  <si>
    <t xml:space="preserve">TAX RATE </t>
  </si>
  <si>
    <t>EBIT(1-TAX)</t>
  </si>
  <si>
    <t>Less: Reinvestment Rate</t>
  </si>
  <si>
    <t>Free Cash Flow From Firm(FCFF)</t>
  </si>
  <si>
    <t>Mid Year Convention</t>
  </si>
  <si>
    <t>Discounting Factor</t>
  </si>
  <si>
    <t>PV of FCFF</t>
  </si>
  <si>
    <t xml:space="preserve">Expected Growth </t>
  </si>
  <si>
    <t xml:space="preserve">Terminal Growth </t>
  </si>
  <si>
    <t xml:space="preserve">Calculation Of Terminal Value </t>
  </si>
  <si>
    <t>SENSITIVITY ANALYSIS</t>
  </si>
  <si>
    <t>FCFF(n+1)</t>
  </si>
  <si>
    <t xml:space="preserve">Terminal Growth Rate </t>
  </si>
  <si>
    <t>Terminal Value</t>
  </si>
  <si>
    <t xml:space="preserve">Calculation Of Equity Value Per Share </t>
  </si>
  <si>
    <t>PV of Terminal Value</t>
  </si>
  <si>
    <t>Value of Operating Assets</t>
  </si>
  <si>
    <t>Add: CASH</t>
  </si>
  <si>
    <t>Less: Debt</t>
  </si>
  <si>
    <t>Note: LT + ST Borrowings only; excl. lease liabilities (₹7,425 Cr)</t>
  </si>
  <si>
    <t xml:space="preserve">Value Of Equity </t>
  </si>
  <si>
    <t>No. Of Shares</t>
  </si>
  <si>
    <t xml:space="preserve">Equity Value Per Share </t>
  </si>
  <si>
    <t>Share Price</t>
  </si>
  <si>
    <t>Discount/Premium</t>
  </si>
  <si>
    <t>COMPANY NAME</t>
  </si>
  <si>
    <t>TATA STEEL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</si>
  <si>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</si>
  <si>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</si>
  <si>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</si>
  <si>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</si>
  <si>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</si>
  <si>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</si>
  <si>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</si>
  <si>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</si>
  <si>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</si>
  <si>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</si>
  <si>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</si>
  <si>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</si>
  <si>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</si>
  <si>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</si>
  <si>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</si>
  <si>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Dividend Amount</t>
  </si>
  <si>
    <t>Quarters</t>
  </si>
  <si>
    <t>BALANCE SHEET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</si>
  <si>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</si>
  <si>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</si>
  <si>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</si>
  <si>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</si>
  <si>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</si>
  <si>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</si>
  <si>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</si>
  <si>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</si>
  <si>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 xml:space="preserve">Particulars </t>
  </si>
  <si>
    <t xml:space="preserve">Cash from Investing Activity </t>
  </si>
  <si>
    <t xml:space="preserve">Cash from Financing Activity </t>
  </si>
  <si>
    <t>Particulars</t>
  </si>
  <si>
    <t>Equity Capital</t>
  </si>
  <si>
    <t>Borrowings -</t>
  </si>
  <si>
    <t>Long term Borrowings</t>
  </si>
  <si>
    <t>Short term Borrowings</t>
  </si>
  <si>
    <t>Lease Liabilities</t>
  </si>
  <si>
    <t>Preference Capital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</si>
  <si>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</si>
  <si>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</si>
  <si>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</si>
  <si>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</si>
  <si>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</si>
  <si>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</si>
  <si>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</si>
  <si>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</si>
  <si>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</si>
  <si>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</si>
  <si>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</si>
  <si>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</si>
  <si>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</si>
  <si>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</si>
  <si>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</si>
  <si>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</si>
  <si>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</si>
  <si>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</si>
  <si>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</si>
  <si>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</si>
  <si>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</si>
  <si>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</si>
  <si>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</si>
  <si>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Cash from Operating Activity -</t>
  </si>
  <si>
    <t>Cash from Investing Activity -</t>
  </si>
  <si>
    <t>Cash from Financing Activity -</t>
  </si>
  <si>
    <t>Free Cash Flow</t>
  </si>
  <si>
    <t>CFO/OP</t>
  </si>
  <si>
    <t xml:space="preserve">Comparison Beta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</si>
</sst>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[$-409]mmm\-yy;@"/>
    <numFmt numFmtId="165" formatCode="_(* #,##0.00_);_(* \(#,##0.00\);_(* \-??_);_(@_)"/>
    <numFmt numFmtId="166" formatCode="_ * #,##0.00_ ;_ * \-#,##0.00_ ;_ * \-??_ ;_ @_ "/>
    <numFmt numFmtId="167" formatCode="#\A"/>
    <numFmt numFmtId="168" formatCode="#\E"/>
    <numFmt numFmtId="169" formatCode="&quot;₹ &quot;#,##0.0;&quot;₹ (&quot;#,##0.0\);\-"/>
    <numFmt numFmtId="170" formatCode="&quot;₹ &quot;#,##0.00;&quot;₹ (&quot;#,##0.00\);\-"/>
    <numFmt numFmtId="171" formatCode="#,##0.0"/>
    <numFmt numFmtId="172" formatCode="0.000%"/>
    <numFmt numFmtId="173" formatCode="m/d/yyyy"/>
    <numFmt numFmtId="174" formatCode="[$-4009]dd/mm/yyyy;@"/>
    <numFmt numFmtId="175" formatCode="mmm\-yy"/>
    <numFmt numFmtId="176" formatCode="#,##0.0;\(#,##0.0\);\-"/>
    <numFmt numFmtId="177" formatCode="0.0%"/>
    <numFmt numFmtId="178" formatCode="mmm/yy\A"/>
    <numFmt numFmtId="179" formatCode="mmm/yy\F"/>
    <numFmt numFmtId="180" formatCode="0.000"/>
    <numFmt numFmtId="181" formatCode="#,##0.00;\(#,##0.00\);\-"/>
    <numFmt numFmtId="182" formatCode="0.00\x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u/>
      <sz val="11"/>
      <color theme="1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20"/>
      <color theme="0"/>
      <name val="Calibri"/>
      <family val="2"/>
      <charset val="1"/>
    </font>
    <font>
      <b/>
      <i/>
      <sz val="10"/>
      <color theme="1"/>
      <name val="Calibri"/>
      <family val="2"/>
      <charset val="1"/>
    </font>
    <font>
      <sz val="11"/>
      <color rgb="FF3333FF"/>
      <name val="Calibri"/>
      <family val="2"/>
      <charset val="1"/>
    </font>
    <font>
      <b/>
      <i/>
      <sz val="9"/>
      <color theme="1"/>
      <name val="Calibri"/>
      <family val="2"/>
      <charset val="1"/>
    </font>
    <font>
      <i/>
      <sz val="9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i/>
      <sz val="11"/>
      <color theme="1"/>
      <name val="Calibri"/>
      <family val="2"/>
      <charset val="1"/>
    </font>
    <font>
      <i/>
      <sz val="8"/>
      <color rgb="FF808080"/>
      <name val="Cambria"/>
      <family val="1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39988402966399123"/>
        <bgColor rgb="FFA8BFDF"/>
      </patternFill>
    </fill>
    <fill>
      <patternFill patternType="solid">
        <fgColor theme="6" tint="0.39988402966399123"/>
        <bgColor rgb="FFFF99CC"/>
      </patternFill>
    </fill>
    <fill>
      <patternFill patternType="solid">
        <fgColor theme="9"/>
        <bgColor rgb="FF993366"/>
      </patternFill>
    </fill>
    <fill>
      <patternFill patternType="solid">
        <fgColor rgb="FF0275D8"/>
        <bgColor rgb="FF008080"/>
      </patternFill>
    </fill>
    <fill>
      <patternFill patternType="solid">
        <fgColor theme="7" tint="-0.249977111117893"/>
        <bgColor rgb="FF333333"/>
      </patternFill>
    </fill>
    <fill>
      <patternFill patternType="solid">
        <fgColor theme="7" tint="0.59987182226020086"/>
        <bgColor rgb="FF7ACBE0"/>
      </patternFill>
    </fill>
    <fill>
      <patternFill patternType="solid">
        <fgColor rgb="FFFFFFFF"/>
        <bgColor rgb="FFFFFFCC"/>
      </patternFill>
    </fill>
    <fill>
      <patternFill patternType="solid">
        <fgColor rgb="FF002060"/>
        <bgColor rgb="FF000080"/>
      </patternFill>
    </fill>
    <fill>
      <patternFill patternType="solid">
        <fgColor theme="0" tint="-0.14999847407452621"/>
        <bgColor rgb="FFCCFFCC"/>
      </patternFill>
    </fill>
    <fill>
      <patternFill patternType="solid">
        <fgColor theme="0"/>
        <bgColor rgb="FFCC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rgb="FFCCFFCC"/>
      </patternFill>
    </fill>
    <fill>
      <patternFill patternType="solid">
        <fgColor theme="7" tint="0.79998168889431442"/>
        <bgColor rgb="FF000080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ck">
        <color rgb="FF002060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theme="8" tint="-0.499984740745262"/>
      </top>
      <bottom style="thick">
        <color theme="8" tint="-0.499984740745262"/>
      </bottom>
      <diagonal/>
    </border>
  </borders>
  <cellStyleXfs count="7">
    <xf numFmtId="0" fontId="0" fillId="0" borderId="0"/>
    <xf numFmtId="165" fontId="23" fillId="0" borderId="0"/>
    <xf numFmtId="9" fontId="23" fillId="0" borderId="0"/>
    <xf numFmtId="0" fontId="9" fillId="0" borderId="0">
      <alignment vertical="top"/>
      <protection locked="0"/>
    </xf>
    <xf numFmtId="0" fontId="5" fillId="2" borderId="0"/>
    <xf numFmtId="0" fontId="5" fillId="3" borderId="0"/>
    <xf numFmtId="0" fontId="5" fillId="4" borderId="0"/>
  </cellStyleXfs>
  <cellXfs count="210">
    <xf numFmtId="0" fontId="0" fillId="0" borderId="0" xfId="0"/>
    <xf numFmtId="0" fontId="21" fillId="0" borderId="9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5" borderId="0" xfId="0" applyFont="1" applyFill="1"/>
    <xf numFmtId="164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6" fontId="2" fillId="0" borderId="0" xfId="1" applyNumberFormat="1" applyFont="1"/>
    <xf numFmtId="166" fontId="23" fillId="0" borderId="0" xfId="1" applyNumberFormat="1"/>
    <xf numFmtId="9" fontId="23" fillId="0" borderId="0" xfId="1" applyNumberFormat="1"/>
    <xf numFmtId="166" fontId="4" fillId="2" borderId="0" xfId="4" applyNumberFormat="1" applyFont="1"/>
    <xf numFmtId="166" fontId="4" fillId="3" borderId="0" xfId="5" applyNumberFormat="1" applyFont="1"/>
    <xf numFmtId="10" fontId="0" fillId="0" borderId="0" xfId="0" applyNumberFormat="1"/>
    <xf numFmtId="10" fontId="2" fillId="0" borderId="0" xfId="0" applyNumberFormat="1" applyFont="1"/>
    <xf numFmtId="9" fontId="2" fillId="0" borderId="0" xfId="2" applyFont="1"/>
    <xf numFmtId="0" fontId="6" fillId="0" borderId="0" xfId="0" applyFont="1"/>
    <xf numFmtId="166" fontId="23" fillId="0" borderId="0" xfId="1" applyNumberFormat="1" applyAlignment="1">
      <alignment horizontal="center"/>
    </xf>
    <xf numFmtId="166" fontId="2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3" applyFont="1" applyAlignment="1" applyProtection="1">
      <alignment horizontal="left"/>
    </xf>
    <xf numFmtId="0" fontId="8" fillId="0" borderId="0" xfId="3" applyFont="1" applyAlignment="1" applyProtection="1"/>
    <xf numFmtId="0" fontId="5" fillId="6" borderId="0" xfId="0" applyFont="1" applyFill="1"/>
    <xf numFmtId="167" fontId="5" fillId="6" borderId="0" xfId="0" applyNumberFormat="1" applyFont="1" applyFill="1"/>
    <xf numFmtId="168" fontId="5" fillId="6" borderId="0" xfId="0" applyNumberFormat="1" applyFont="1" applyFill="1"/>
    <xf numFmtId="0" fontId="2" fillId="7" borderId="0" xfId="0" applyFont="1" applyFill="1"/>
    <xf numFmtId="0" fontId="0" fillId="7" borderId="0" xfId="0" applyFill="1"/>
    <xf numFmtId="169" fontId="10" fillId="0" borderId="0" xfId="0" applyNumberFormat="1" applyFont="1"/>
    <xf numFmtId="169" fontId="0" fillId="0" borderId="0" xfId="0" applyNumberFormat="1"/>
    <xf numFmtId="0" fontId="2" fillId="0" borderId="1" xfId="0" applyFont="1" applyBorder="1"/>
    <xf numFmtId="0" fontId="0" fillId="0" borderId="1" xfId="0" applyBorder="1"/>
    <xf numFmtId="169" fontId="2" fillId="0" borderId="1" xfId="0" applyNumberFormat="1" applyFont="1" applyBorder="1"/>
    <xf numFmtId="0" fontId="2" fillId="0" borderId="2" xfId="0" applyFont="1" applyBorder="1"/>
    <xf numFmtId="169" fontId="2" fillId="0" borderId="2" xfId="0" applyNumberFormat="1" applyFont="1" applyBorder="1"/>
    <xf numFmtId="0" fontId="11" fillId="0" borderId="0" xfId="0" applyFont="1"/>
    <xf numFmtId="10" fontId="23" fillId="0" borderId="0" xfId="2" applyNumberFormat="1" applyAlignment="1">
      <alignment horizontal="right"/>
    </xf>
    <xf numFmtId="10" fontId="23" fillId="0" borderId="0" xfId="2" applyNumberFormat="1"/>
    <xf numFmtId="10" fontId="10" fillId="0" borderId="0" xfId="0" applyNumberFormat="1" applyFont="1"/>
    <xf numFmtId="10" fontId="6" fillId="0" borderId="0" xfId="0" applyNumberFormat="1" applyFont="1"/>
    <xf numFmtId="10" fontId="10" fillId="0" borderId="0" xfId="2" applyNumberFormat="1" applyFont="1"/>
    <xf numFmtId="0" fontId="11" fillId="0" borderId="0" xfId="0" applyFont="1" applyAlignment="1">
      <alignment horizontal="center"/>
    </xf>
    <xf numFmtId="2" fontId="12" fillId="8" borderId="0" xfId="0" applyNumberFormat="1" applyFont="1" applyFill="1" applyAlignment="1">
      <alignment horizontal="right"/>
    </xf>
    <xf numFmtId="2" fontId="12" fillId="8" borderId="0" xfId="2" applyNumberFormat="1" applyFont="1" applyFill="1" applyAlignment="1">
      <alignment horizontal="right"/>
    </xf>
    <xf numFmtId="2" fontId="0" fillId="0" borderId="0" xfId="0" applyNumberFormat="1"/>
    <xf numFmtId="2" fontId="23" fillId="0" borderId="0" xfId="2" applyNumberFormat="1"/>
    <xf numFmtId="2" fontId="10" fillId="0" borderId="0" xfId="2" applyNumberFormat="1" applyFont="1"/>
    <xf numFmtId="166" fontId="0" fillId="0" borderId="0" xfId="0" applyNumberFormat="1"/>
    <xf numFmtId="166" fontId="2" fillId="0" borderId="0" xfId="0" applyNumberFormat="1" applyFont="1"/>
    <xf numFmtId="169" fontId="2" fillId="0" borderId="0" xfId="0" applyNumberFormat="1" applyFont="1"/>
    <xf numFmtId="3" fontId="0" fillId="0" borderId="0" xfId="0" applyNumberFormat="1"/>
    <xf numFmtId="170" fontId="0" fillId="0" borderId="0" xfId="0" applyNumberFormat="1"/>
    <xf numFmtId="0" fontId="2" fillId="0" borderId="3" xfId="0" applyFont="1" applyBorder="1" applyAlignment="1">
      <alignment horizontal="left"/>
    </xf>
    <xf numFmtId="0" fontId="0" fillId="0" borderId="3" xfId="0" applyBorder="1"/>
    <xf numFmtId="170" fontId="2" fillId="0" borderId="3" xfId="0" applyNumberFormat="1" applyFont="1" applyBorder="1"/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4" xfId="0" applyBorder="1"/>
    <xf numFmtId="170" fontId="0" fillId="0" borderId="4" xfId="0" applyNumberFormat="1" applyBorder="1"/>
    <xf numFmtId="0" fontId="13" fillId="9" borderId="0" xfId="0" applyFont="1" applyFill="1"/>
    <xf numFmtId="0" fontId="14" fillId="0" borderId="0" xfId="0" applyFont="1"/>
    <xf numFmtId="0" fontId="10" fillId="0" borderId="0" xfId="0" applyFont="1"/>
    <xf numFmtId="0" fontId="15" fillId="0" borderId="0" xfId="0" applyFont="1"/>
    <xf numFmtId="171" fontId="15" fillId="0" borderId="0" xfId="0" applyNumberFormat="1" applyFont="1"/>
    <xf numFmtId="10" fontId="15" fillId="0" borderId="0" xfId="0" applyNumberFormat="1" applyFont="1"/>
    <xf numFmtId="10" fontId="23" fillId="10" borderId="0" xfId="2" applyNumberFormat="1" applyFill="1"/>
    <xf numFmtId="2" fontId="15" fillId="0" borderId="0" xfId="0" applyNumberFormat="1" applyFont="1"/>
    <xf numFmtId="2" fontId="0" fillId="10" borderId="0" xfId="0" applyNumberFormat="1" applyFill="1"/>
    <xf numFmtId="10" fontId="0" fillId="0" borderId="1" xfId="0" applyNumberFormat="1" applyBorder="1"/>
    <xf numFmtId="10" fontId="23" fillId="0" borderId="1" xfId="2" applyNumberFormat="1" applyBorder="1"/>
    <xf numFmtId="2" fontId="0" fillId="0" borderId="1" xfId="0" applyNumberFormat="1" applyBorder="1"/>
    <xf numFmtId="0" fontId="2" fillId="0" borderId="6" xfId="0" applyFont="1" applyBorder="1"/>
    <xf numFmtId="10" fontId="0" fillId="0" borderId="6" xfId="0" applyNumberFormat="1" applyBorder="1"/>
    <xf numFmtId="10" fontId="23" fillId="0" borderId="6" xfId="2" applyNumberFormat="1" applyBorder="1"/>
    <xf numFmtId="2" fontId="0" fillId="0" borderId="6" xfId="0" applyNumberFormat="1" applyBorder="1"/>
    <xf numFmtId="172" fontId="15" fillId="0" borderId="0" xfId="0" applyNumberFormat="1" applyFont="1"/>
    <xf numFmtId="0" fontId="0" fillId="0" borderId="7" xfId="0" applyBorder="1"/>
    <xf numFmtId="10" fontId="0" fillId="0" borderId="7" xfId="0" applyNumberFormat="1" applyBorder="1"/>
    <xf numFmtId="10" fontId="23" fillId="10" borderId="7" xfId="2" applyNumberFormat="1" applyFill="1" applyBorder="1"/>
    <xf numFmtId="0" fontId="2" fillId="0" borderId="6" xfId="0" applyFont="1" applyBorder="1" applyAlignment="1">
      <alignment horizontal="right"/>
    </xf>
    <xf numFmtId="9" fontId="0" fillId="0" borderId="0" xfId="0" applyNumberFormat="1"/>
    <xf numFmtId="171" fontId="0" fillId="0" borderId="7" xfId="0" applyNumberFormat="1" applyBorder="1"/>
    <xf numFmtId="10" fontId="23" fillId="0" borderId="7" xfId="2" applyNumberFormat="1" applyBorder="1"/>
    <xf numFmtId="2" fontId="0" fillId="10" borderId="7" xfId="0" applyNumberFormat="1" applyFill="1" applyBorder="1"/>
    <xf numFmtId="10" fontId="0" fillId="10" borderId="0" xfId="0" applyNumberFormat="1" applyFill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16" fillId="0" borderId="0" xfId="0" applyFont="1"/>
    <xf numFmtId="0" fontId="17" fillId="0" borderId="0" xfId="0" applyFont="1" applyAlignment="1">
      <alignment vertical="top"/>
    </xf>
    <xf numFmtId="0" fontId="4" fillId="9" borderId="0" xfId="0" applyFont="1" applyFill="1"/>
    <xf numFmtId="0" fontId="5" fillId="9" borderId="0" xfId="0" applyFont="1" applyFill="1"/>
    <xf numFmtId="0" fontId="5" fillId="0" borderId="0" xfId="0" applyFont="1"/>
    <xf numFmtId="0" fontId="2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/>
    </xf>
    <xf numFmtId="173" fontId="20" fillId="0" borderId="0" xfId="0" applyNumberFormat="1" applyFont="1" applyAlignment="1">
      <alignment horizontal="right" wrapText="1"/>
    </xf>
    <xf numFmtId="0" fontId="20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73" fontId="20" fillId="0" borderId="0" xfId="0" applyNumberFormat="1" applyFont="1" applyAlignment="1">
      <alignment horizontal="left" wrapText="1"/>
    </xf>
    <xf numFmtId="4" fontId="0" fillId="0" borderId="0" xfId="0" applyNumberFormat="1"/>
    <xf numFmtId="174" fontId="20" fillId="0" borderId="0" xfId="0" applyNumberFormat="1" applyFont="1" applyAlignment="1">
      <alignment horizontal="right" wrapText="1"/>
    </xf>
    <xf numFmtId="174" fontId="20" fillId="0" borderId="0" xfId="0" applyNumberFormat="1" applyFont="1" applyAlignment="1">
      <alignment horizontal="left" wrapText="1"/>
    </xf>
    <xf numFmtId="0" fontId="2" fillId="10" borderId="0" xfId="0" applyFont="1" applyFill="1" applyAlignment="1">
      <alignment horizontal="left"/>
    </xf>
    <xf numFmtId="0" fontId="0" fillId="0" borderId="10" xfId="0" applyBorder="1"/>
    <xf numFmtId="17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right" vertical="center" wrapText="1" indent="1"/>
    </xf>
    <xf numFmtId="173" fontId="0" fillId="0" borderId="0" xfId="0" applyNumberFormat="1"/>
    <xf numFmtId="10" fontId="10" fillId="0" borderId="0" xfId="2" applyNumberFormat="1" applyFont="1" applyAlignment="1">
      <alignment horizontal="right"/>
    </xf>
    <xf numFmtId="175" fontId="5" fillId="9" borderId="0" xfId="0" applyNumberFormat="1" applyFont="1" applyFill="1"/>
    <xf numFmtId="0" fontId="0" fillId="0" borderId="11" xfId="0" applyBorder="1"/>
    <xf numFmtId="176" fontId="0" fillId="0" borderId="11" xfId="0" applyNumberFormat="1" applyBorder="1"/>
    <xf numFmtId="176" fontId="0" fillId="0" borderId="0" xfId="0" applyNumberFormat="1"/>
    <xf numFmtId="0" fontId="0" fillId="0" borderId="12" xfId="0" applyBorder="1"/>
    <xf numFmtId="0" fontId="2" fillId="0" borderId="13" xfId="0" applyFont="1" applyBorder="1"/>
    <xf numFmtId="176" fontId="2" fillId="0" borderId="13" xfId="0" applyNumberFormat="1" applyFont="1" applyBorder="1"/>
    <xf numFmtId="10" fontId="10" fillId="0" borderId="11" xfId="0" applyNumberFormat="1" applyFont="1" applyBorder="1"/>
    <xf numFmtId="0" fontId="2" fillId="10" borderId="0" xfId="0" applyFont="1" applyFill="1"/>
    <xf numFmtId="177" fontId="2" fillId="10" borderId="0" xfId="0" applyNumberFormat="1" applyFont="1" applyFill="1"/>
    <xf numFmtId="9" fontId="0" fillId="0" borderId="11" xfId="0" applyNumberFormat="1" applyBorder="1"/>
    <xf numFmtId="178" fontId="5" fillId="9" borderId="0" xfId="0" applyNumberFormat="1" applyFont="1" applyFill="1"/>
    <xf numFmtId="179" fontId="5" fillId="9" borderId="0" xfId="0" applyNumberFormat="1" applyFont="1" applyFill="1"/>
    <xf numFmtId="0" fontId="0" fillId="0" borderId="14" xfId="0" applyBorder="1"/>
    <xf numFmtId="176" fontId="0" fillId="10" borderId="14" xfId="0" applyNumberFormat="1" applyFill="1" applyBorder="1"/>
    <xf numFmtId="176" fontId="0" fillId="0" borderId="14" xfId="0" applyNumberFormat="1" applyBorder="1"/>
    <xf numFmtId="10" fontId="10" fillId="10" borderId="14" xfId="0" applyNumberFormat="1" applyFont="1" applyFill="1" applyBorder="1"/>
    <xf numFmtId="10" fontId="10" fillId="0" borderId="14" xfId="0" applyNumberFormat="1" applyFont="1" applyBorder="1"/>
    <xf numFmtId="9" fontId="0" fillId="10" borderId="14" xfId="0" applyNumberFormat="1" applyFill="1" applyBorder="1"/>
    <xf numFmtId="9" fontId="0" fillId="0" borderId="14" xfId="0" applyNumberFormat="1" applyBorder="1"/>
    <xf numFmtId="0" fontId="0" fillId="10" borderId="14" xfId="0" applyFill="1" applyBorder="1"/>
    <xf numFmtId="0" fontId="10" fillId="0" borderId="14" xfId="0" applyFont="1" applyBorder="1"/>
    <xf numFmtId="180" fontId="0" fillId="0" borderId="14" xfId="0" applyNumberFormat="1" applyBorder="1"/>
    <xf numFmtId="0" fontId="0" fillId="10" borderId="0" xfId="0" applyFill="1"/>
    <xf numFmtId="177" fontId="0" fillId="10" borderId="0" xfId="0" applyNumberFormat="1" applyFill="1"/>
    <xf numFmtId="0" fontId="4" fillId="0" borderId="0" xfId="0" applyFont="1"/>
    <xf numFmtId="2" fontId="5" fillId="0" borderId="0" xfId="0" applyNumberFormat="1" applyFont="1"/>
    <xf numFmtId="9" fontId="2" fillId="0" borderId="0" xfId="0" applyNumberFormat="1" applyFont="1"/>
    <xf numFmtId="9" fontId="2" fillId="0" borderId="0" xfId="0" applyNumberFormat="1" applyFont="1" applyAlignment="1">
      <alignment horizontal="left"/>
    </xf>
    <xf numFmtId="171" fontId="0" fillId="0" borderId="0" xfId="0" applyNumberFormat="1"/>
    <xf numFmtId="10" fontId="2" fillId="0" borderId="0" xfId="0" applyNumberFormat="1" applyFont="1" applyAlignment="1">
      <alignment horizontal="left"/>
    </xf>
    <xf numFmtId="181" fontId="0" fillId="0" borderId="0" xfId="0" applyNumberFormat="1"/>
    <xf numFmtId="0" fontId="22" fillId="0" borderId="0" xfId="0" applyFont="1"/>
    <xf numFmtId="181" fontId="2" fillId="0" borderId="0" xfId="0" applyNumberFormat="1" applyFont="1"/>
    <xf numFmtId="164" fontId="4" fillId="5" borderId="0" xfId="1" applyNumberFormat="1" applyFont="1" applyFill="1"/>
    <xf numFmtId="164" fontId="6" fillId="0" borderId="0" xfId="1" applyNumberFormat="1" applyFont="1"/>
    <xf numFmtId="165" fontId="23" fillId="0" borderId="0" xfId="1"/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75" fontId="4" fillId="9" borderId="0" xfId="0" applyNumberFormat="1" applyFont="1" applyFill="1"/>
    <xf numFmtId="175" fontId="4" fillId="0" borderId="0" xfId="0" applyNumberFormat="1" applyFont="1"/>
    <xf numFmtId="3" fontId="2" fillId="0" borderId="0" xfId="0" applyNumberFormat="1" applyFont="1"/>
    <xf numFmtId="176" fontId="2" fillId="0" borderId="16" xfId="0" applyNumberFormat="1" applyFont="1" applyBorder="1"/>
    <xf numFmtId="176" fontId="0" fillId="0" borderId="6" xfId="0" applyNumberFormat="1" applyBorder="1"/>
    <xf numFmtId="171" fontId="0" fillId="11" borderId="0" xfId="0" applyNumberFormat="1" applyFill="1"/>
    <xf numFmtId="171" fontId="0" fillId="12" borderId="0" xfId="0" applyNumberFormat="1" applyFill="1"/>
    <xf numFmtId="0" fontId="4" fillId="13" borderId="0" xfId="0" applyFont="1" applyFill="1" applyAlignment="1">
      <alignment horizontal="left"/>
    </xf>
    <xf numFmtId="0" fontId="4" fillId="13" borderId="0" xfId="0" applyFont="1" applyFill="1"/>
    <xf numFmtId="0" fontId="5" fillId="13" borderId="0" xfId="0" applyFont="1" applyFill="1"/>
    <xf numFmtId="0" fontId="24" fillId="13" borderId="0" xfId="0" applyFont="1" applyFill="1"/>
    <xf numFmtId="0" fontId="2" fillId="14" borderId="4" xfId="0" applyFont="1" applyFill="1" applyBorder="1"/>
    <xf numFmtId="176" fontId="2" fillId="14" borderId="4" xfId="0" applyNumberFormat="1" applyFont="1" applyFill="1" applyBorder="1"/>
    <xf numFmtId="0" fontId="0" fillId="0" borderId="17" xfId="0" applyBorder="1"/>
    <xf numFmtId="0" fontId="2" fillId="0" borderId="3" xfId="0" applyFont="1" applyBorder="1"/>
    <xf numFmtId="176" fontId="2" fillId="0" borderId="3" xfId="0" applyNumberFormat="1" applyFont="1" applyBorder="1"/>
    <xf numFmtId="0" fontId="0" fillId="14" borderId="4" xfId="0" applyFill="1" applyBorder="1"/>
    <xf numFmtId="9" fontId="2" fillId="14" borderId="4" xfId="2" applyFont="1" applyFill="1" applyBorder="1"/>
    <xf numFmtId="0" fontId="0" fillId="0" borderId="18" xfId="0" applyBorder="1"/>
    <xf numFmtId="9" fontId="23" fillId="14" borderId="4" xfId="2" applyFill="1" applyBorder="1"/>
    <xf numFmtId="10" fontId="0" fillId="14" borderId="4" xfId="0" applyNumberFormat="1" applyFill="1" applyBorder="1"/>
    <xf numFmtId="0" fontId="2" fillId="15" borderId="4" xfId="0" applyFont="1" applyFill="1" applyBorder="1"/>
    <xf numFmtId="176" fontId="2" fillId="15" borderId="4" xfId="0" applyNumberFormat="1" applyFont="1" applyFill="1" applyBorder="1"/>
    <xf numFmtId="0" fontId="2" fillId="15" borderId="3" xfId="0" applyFont="1" applyFill="1" applyBorder="1"/>
    <xf numFmtId="176" fontId="2" fillId="15" borderId="3" xfId="0" applyNumberFormat="1" applyFont="1" applyFill="1" applyBorder="1"/>
    <xf numFmtId="0" fontId="0" fillId="16" borderId="4" xfId="0" applyFill="1" applyBorder="1"/>
    <xf numFmtId="176" fontId="0" fillId="14" borderId="15" xfId="0" applyNumberFormat="1" applyFill="1" applyBorder="1"/>
    <xf numFmtId="2" fontId="2" fillId="14" borderId="4" xfId="0" applyNumberFormat="1" applyFont="1" applyFill="1" applyBorder="1"/>
    <xf numFmtId="0" fontId="0" fillId="15" borderId="0" xfId="0" applyFill="1"/>
    <xf numFmtId="182" fontId="23" fillId="15" borderId="0" xfId="2" applyNumberFormat="1" applyFill="1"/>
    <xf numFmtId="0" fontId="25" fillId="0" borderId="14" xfId="0" applyFont="1" applyBorder="1"/>
    <xf numFmtId="0" fontId="2" fillId="15" borderId="0" xfId="0" applyFont="1" applyFill="1"/>
    <xf numFmtId="176" fontId="2" fillId="15" borderId="0" xfId="0" applyNumberFormat="1" applyFont="1" applyFill="1"/>
    <xf numFmtId="176" fontId="0" fillId="15" borderId="0" xfId="0" applyNumberFormat="1" applyFill="1"/>
    <xf numFmtId="176" fontId="0" fillId="14" borderId="4" xfId="0" applyNumberFormat="1" applyFill="1" applyBorder="1"/>
    <xf numFmtId="175" fontId="4" fillId="13" borderId="0" xfId="0" applyNumberFormat="1" applyFont="1" applyFill="1"/>
    <xf numFmtId="0" fontId="2" fillId="0" borderId="19" xfId="0" applyFont="1" applyBorder="1" applyAlignment="1">
      <alignment horizontal="left"/>
    </xf>
    <xf numFmtId="0" fontId="0" fillId="0" borderId="19" xfId="0" applyBorder="1" applyAlignment="1">
      <alignment horizontal="right"/>
    </xf>
    <xf numFmtId="3" fontId="0" fillId="0" borderId="19" xfId="0" applyNumberFormat="1" applyBorder="1" applyAlignment="1">
      <alignment horizontal="right"/>
    </xf>
    <xf numFmtId="0" fontId="2" fillId="14" borderId="0" xfId="0" applyFont="1" applyFill="1" applyAlignment="1">
      <alignment horizontal="left"/>
    </xf>
    <xf numFmtId="3" fontId="0" fillId="14" borderId="0" xfId="0" applyNumberFormat="1" applyFill="1" applyAlignment="1">
      <alignment horizontal="right"/>
    </xf>
    <xf numFmtId="0" fontId="0" fillId="14" borderId="0" xfId="0" applyFill="1" applyAlignment="1">
      <alignment horizontal="right"/>
    </xf>
    <xf numFmtId="0" fontId="2" fillId="14" borderId="19" xfId="0" applyFont="1" applyFill="1" applyBorder="1"/>
    <xf numFmtId="10" fontId="2" fillId="14" borderId="19" xfId="0" applyNumberFormat="1" applyFont="1" applyFill="1" applyBorder="1"/>
    <xf numFmtId="0" fontId="25" fillId="14" borderId="0" xfId="0" applyFont="1" applyFill="1"/>
    <xf numFmtId="2" fontId="25" fillId="14" borderId="0" xfId="0" applyNumberFormat="1" applyFont="1" applyFill="1"/>
    <xf numFmtId="0" fontId="4" fillId="13" borderId="6" xfId="0" applyFont="1" applyFill="1" applyBorder="1"/>
    <xf numFmtId="0" fontId="5" fillId="13" borderId="6" xfId="0" applyFont="1" applyFill="1" applyBorder="1"/>
    <xf numFmtId="0" fontId="2" fillId="17" borderId="4" xfId="0" applyFont="1" applyFill="1" applyBorder="1"/>
    <xf numFmtId="10" fontId="2" fillId="17" borderId="4" xfId="0" applyNumberFormat="1" applyFont="1" applyFill="1" applyBorder="1"/>
    <xf numFmtId="0" fontId="25" fillId="14" borderId="1" xfId="0" applyFont="1" applyFill="1" applyBorder="1"/>
    <xf numFmtId="0" fontId="25" fillId="14" borderId="5" xfId="0" applyFont="1" applyFill="1" applyBorder="1"/>
    <xf numFmtId="0" fontId="2" fillId="14" borderId="6" xfId="0" applyFont="1" applyFill="1" applyBorder="1" applyAlignment="1">
      <alignment horizontal="right"/>
    </xf>
    <xf numFmtId="10" fontId="15" fillId="14" borderId="0" xfId="0" applyNumberFormat="1" applyFont="1" applyFill="1"/>
    <xf numFmtId="10" fontId="0" fillId="14" borderId="0" xfId="0" applyNumberFormat="1" applyFill="1"/>
    <xf numFmtId="10" fontId="0" fillId="14" borderId="7" xfId="0" applyNumberFormat="1" applyFill="1" applyBorder="1"/>
    <xf numFmtId="0" fontId="5" fillId="9" borderId="0" xfId="0" applyFont="1" applyFill="1" applyAlignment="1">
      <alignment horizontal="center"/>
    </xf>
    <xf numFmtId="0" fontId="18" fillId="9" borderId="0" xfId="0" applyFont="1" applyFill="1" applyAlignment="1">
      <alignment horizontal="center" wrapText="1"/>
    </xf>
    <xf numFmtId="0" fontId="21" fillId="0" borderId="9" xfId="0" applyFont="1" applyBorder="1" applyAlignment="1">
      <alignment horizontal="center"/>
    </xf>
    <xf numFmtId="166" fontId="9" fillId="0" borderId="0" xfId="3" applyNumberFormat="1" applyAlignment="1" applyProtection="1">
      <alignment horizontal="center"/>
    </xf>
    <xf numFmtId="166" fontId="4" fillId="4" borderId="0" xfId="6" applyNumberFormat="1" applyFont="1" applyAlignment="1">
      <alignment horizontal="center"/>
    </xf>
  </cellXfs>
  <cellStyles count="7">
    <cellStyle name="Comma" xfId="1" builtinId="3"/>
    <cellStyle name="Excel Built-in 60% - Accent1" xfId="4" xr:uid="{00000000-0005-0000-0000-000006000000}"/>
    <cellStyle name="Excel Built-in 60% - Accent3" xfId="5" xr:uid="{00000000-0005-0000-0000-000007000000}"/>
    <cellStyle name="Excel Built-in Accent6" xfId="6" xr:uid="{00000000-0005-0000-0000-000009000000}"/>
    <cellStyle name="Hyperlink" xfId="3" builtinId="8"/>
    <cellStyle name="Normal" xfId="0" builtinId="0"/>
    <cellStyle name="Percent" xfId="2" builtinId="5"/>
  </cellStyles>
  <dxfs count="1">
    <dxf>
      <font>
        <b/>
        <color rgb="FFFFFFFF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BFDF"/>
      <rgbColor rgb="FF808080"/>
      <rgbColor rgb="FF9999FF"/>
      <rgbColor rgb="FF7D3C4A"/>
      <rgbColor rgb="FFFFFFCC"/>
      <rgbColor rgb="FFCCFFFF"/>
      <rgbColor rgb="FF660066"/>
      <rgbColor rgb="FFF3A276"/>
      <rgbColor rgb="FF0275D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ACBE0"/>
      <rgbColor rgb="FFFF99CC"/>
      <rgbColor rgb="FFCC99FF"/>
      <rgbColor rgb="FFFFCC99"/>
      <rgbColor rgb="FF3333FF"/>
      <rgbColor rgb="FF33CCCC"/>
      <rgbColor rgb="FF99CC00"/>
      <rgbColor rgb="FFFFCC00"/>
      <rgbColor rgb="FFFF8119"/>
      <rgbColor rgb="FFFF6600"/>
      <rgbColor rgb="FF666699"/>
      <rgbColor rgb="FF969696"/>
      <rgbColor rgb="FF002060"/>
      <rgbColor rgb="FF339966"/>
      <rgbColor rgb="FF003300"/>
      <rgbColor rgb="FF333300"/>
      <rgbColor rgb="FFDA1F28"/>
      <rgbColor rgb="FF993366"/>
      <rgbColor rgb="FF2B4A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46" displayName="Annual46" ref="A3:N19" headerRowCount="0" totalsRowShown="0"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57" displayName="Quarters57" ref="A3:K14" headerRowCount="0" totalsRowShown="0">
  <tableColumns count="1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</a:schemeClr>
            </a:gs>
            <a:gs pos="100000">
              <a:schemeClr val="phClr">
                <a:shade val="70000"/>
              </a:schemeClr>
            </a:gs>
          </a:gsLst>
          <a:path path="circle">
            <a:fillToRect l="20000" t="50000" r="100000" b="50000"/>
          </a:path>
          <a:tileRect/>
        </a:gradFill>
        <a:blipFill rotWithShape="1">
          <a:srcRect/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"/>
  <sheetViews>
    <sheetView zoomScale="120" zoomScaleNormal="120" workbookViewId="0">
      <pane xSplit="1" ySplit="4" topLeftCell="C6" activePane="bottomRight" state="frozen"/>
      <selection pane="topRight" activeCell="C1" sqref="C1"/>
      <selection pane="bottomLeft" activeCell="A6" sqref="A6"/>
      <selection pane="bottomRight" activeCell="D26" sqref="D26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TATA STEEL LTD</v>
      </c>
      <c r="J1" s="3"/>
      <c r="K1" s="3"/>
      <c r="M1" s="2" t="s">
        <v>0</v>
      </c>
    </row>
    <row r="3" spans="1:14" s="2" customFormat="1" x14ac:dyDescent="0.3">
      <c r="A3" s="4" t="s">
        <v>1</v>
      </c>
      <c r="B3" s="5">
        <f>'Data Sheet'!B16</f>
        <v>42825</v>
      </c>
      <c r="C3" s="5">
        <f>'Data Sheet'!C16</f>
        <v>43190</v>
      </c>
      <c r="D3" s="5">
        <f>'Data Sheet'!D16</f>
        <v>43555</v>
      </c>
      <c r="E3" s="5">
        <f>'Data Sheet'!E16</f>
        <v>43921</v>
      </c>
      <c r="F3" s="5">
        <f>'Data Sheet'!F16</f>
        <v>44286</v>
      </c>
      <c r="G3" s="5">
        <f>'Data Sheet'!G16</f>
        <v>44651</v>
      </c>
      <c r="H3" s="5">
        <f>'Data Sheet'!H16</f>
        <v>45016</v>
      </c>
      <c r="I3" s="5">
        <f>'Data Sheet'!I16</f>
        <v>45382</v>
      </c>
      <c r="J3" s="5">
        <f>'Data Sheet'!J16</f>
        <v>45747</v>
      </c>
      <c r="K3" s="5">
        <f>'Data Sheet'!K16</f>
        <v>46112</v>
      </c>
      <c r="L3" s="6" t="s">
        <v>2</v>
      </c>
      <c r="M3" s="6" t="s">
        <v>3</v>
      </c>
      <c r="N3" s="6" t="s">
        <v>4</v>
      </c>
    </row>
    <row r="4" spans="1:14" s="2" customFormat="1" x14ac:dyDescent="0.3">
      <c r="A4" s="2" t="s">
        <v>5</v>
      </c>
      <c r="B4" s="7">
        <f>'Data Sheet'!B17</f>
        <v>112299.42</v>
      </c>
      <c r="C4" s="7">
        <f>'Data Sheet'!C17</f>
        <v>123249.07</v>
      </c>
      <c r="D4" s="7">
        <f>'Data Sheet'!D17</f>
        <v>157668.99</v>
      </c>
      <c r="E4" s="7">
        <f>'Data Sheet'!E17</f>
        <v>139816.65</v>
      </c>
      <c r="F4" s="7">
        <f>'Data Sheet'!F17</f>
        <v>156477.4</v>
      </c>
      <c r="G4" s="7">
        <f>'Data Sheet'!G17</f>
        <v>243959.17</v>
      </c>
      <c r="H4" s="7">
        <f>'Data Sheet'!H17</f>
        <v>243352.69</v>
      </c>
      <c r="I4" s="7">
        <f>'Data Sheet'!I17</f>
        <v>229170.78</v>
      </c>
      <c r="J4" s="7">
        <f>'Data Sheet'!J17</f>
        <v>218542.51</v>
      </c>
      <c r="K4" s="7">
        <f>'Data Sheet'!K17</f>
        <v>232139.94</v>
      </c>
      <c r="L4" s="7">
        <f>SUM(Quarters!H4:K4)</f>
        <v>232139.94</v>
      </c>
      <c r="M4" s="7">
        <f>$K4+M23*K4</f>
        <v>246583.38436400131</v>
      </c>
      <c r="N4" s="7">
        <f>$K4+N23*L4</f>
        <v>228518.36426566218</v>
      </c>
    </row>
    <row r="5" spans="1:14" x14ac:dyDescent="0.3">
      <c r="A5" t="s">
        <v>6</v>
      </c>
      <c r="B5" s="8">
        <f>SUM('Data Sheet'!B18,'Data Sheet'!B20:B24, -1*'Data Sheet'!B19)</f>
        <v>99155.790000000008</v>
      </c>
      <c r="C5" s="8">
        <f>SUM('Data Sheet'!C18,'Data Sheet'!C20:C24, -1*'Data Sheet'!C19)</f>
        <v>101815.88</v>
      </c>
      <c r="D5" s="8">
        <f>SUM('Data Sheet'!D18,'Data Sheet'!D20:D24, -1*'Data Sheet'!D19)</f>
        <v>128350.76999999999</v>
      </c>
      <c r="E5" s="8">
        <f>SUM('Data Sheet'!E18,'Data Sheet'!E20:E24, -1*'Data Sheet'!E19)</f>
        <v>122353.59</v>
      </c>
      <c r="F5" s="8">
        <f>SUM('Data Sheet'!F18,'Data Sheet'!F20:F24, -1*'Data Sheet'!F19)</f>
        <v>125973.14000000001</v>
      </c>
      <c r="G5" s="8">
        <f>SUM('Data Sheet'!G18,'Data Sheet'!G20:G24, -1*'Data Sheet'!G19)</f>
        <v>180469.21999999997</v>
      </c>
      <c r="H5" s="8">
        <f>SUM('Data Sheet'!H18,'Data Sheet'!H20:H24, -1*'Data Sheet'!H19)</f>
        <v>211052.52999999997</v>
      </c>
      <c r="I5" s="8">
        <f>SUM('Data Sheet'!I18,'Data Sheet'!I20:I24, -1*'Data Sheet'!I19)</f>
        <v>206922.86000000002</v>
      </c>
      <c r="J5" s="8">
        <f>SUM('Data Sheet'!J18,'Data Sheet'!J20:J24, -1*'Data Sheet'!J19)</f>
        <v>193244.06000000003</v>
      </c>
      <c r="K5" s="8">
        <f>SUM('Data Sheet'!K18,'Data Sheet'!K20:K24, -1*'Data Sheet'!K19)</f>
        <v>197787.5</v>
      </c>
      <c r="L5" s="8">
        <f>SUM(Quarters!H5:K5)</f>
        <v>197787.5</v>
      </c>
      <c r="M5" s="8">
        <f>M4-M6</f>
        <v>210093.5803416461</v>
      </c>
      <c r="N5" s="8">
        <f>N4-N6</f>
        <v>200989.80181917024</v>
      </c>
    </row>
    <row r="6" spans="1:14" s="2" customFormat="1" x14ac:dyDescent="0.3">
      <c r="A6" s="2" t="s">
        <v>7</v>
      </c>
      <c r="B6" s="7">
        <f t="shared" ref="B6:K6" si="0">B4-B5</f>
        <v>13143.62999999999</v>
      </c>
      <c r="C6" s="7">
        <f t="shared" si="0"/>
        <v>21433.190000000002</v>
      </c>
      <c r="D6" s="7">
        <f t="shared" si="0"/>
        <v>29318.22</v>
      </c>
      <c r="E6" s="7">
        <f t="shared" si="0"/>
        <v>17463.059999999998</v>
      </c>
      <c r="F6" s="7">
        <f t="shared" si="0"/>
        <v>30504.25999999998</v>
      </c>
      <c r="G6" s="7">
        <f t="shared" si="0"/>
        <v>63489.950000000041</v>
      </c>
      <c r="H6" s="7">
        <f t="shared" si="0"/>
        <v>32300.160000000033</v>
      </c>
      <c r="I6" s="7">
        <f t="shared" si="0"/>
        <v>22247.919999999984</v>
      </c>
      <c r="J6" s="7">
        <f t="shared" si="0"/>
        <v>25298.449999999983</v>
      </c>
      <c r="K6" s="7">
        <f t="shared" si="0"/>
        <v>34352.44</v>
      </c>
      <c r="L6" s="7">
        <f>SUM(Quarters!H6:K6)</f>
        <v>34352.44</v>
      </c>
      <c r="M6" s="7">
        <f>M4*M24</f>
        <v>36489.804022355194</v>
      </c>
      <c r="N6" s="7">
        <f>N4*N24</f>
        <v>27528.562446491946</v>
      </c>
    </row>
    <row r="7" spans="1:14" x14ac:dyDescent="0.3">
      <c r="A7" t="s">
        <v>8</v>
      </c>
      <c r="B7" s="8">
        <f>'Data Sheet'!B25</f>
        <v>-3789.11</v>
      </c>
      <c r="C7" s="8">
        <f>'Data Sheet'!C25</f>
        <v>10898.41</v>
      </c>
      <c r="D7" s="8">
        <f>'Data Sheet'!D25</f>
        <v>1524.31</v>
      </c>
      <c r="E7" s="8">
        <f>'Data Sheet'!E25</f>
        <v>-2883.63</v>
      </c>
      <c r="F7" s="8">
        <f>'Data Sheet'!F25</f>
        <v>179.78</v>
      </c>
      <c r="G7" s="8">
        <f>'Data Sheet'!G25</f>
        <v>1299.99</v>
      </c>
      <c r="H7" s="8">
        <f>'Data Sheet'!H25</f>
        <v>1568.86</v>
      </c>
      <c r="I7" s="8">
        <f>'Data Sheet'!I25</f>
        <v>-6005.23</v>
      </c>
      <c r="J7" s="8">
        <f>'Data Sheet'!J25</f>
        <v>876.7</v>
      </c>
      <c r="K7" s="8">
        <f>'Data Sheet'!K25</f>
        <v>737.82</v>
      </c>
      <c r="L7" s="8">
        <f>SUM(Quarters!H7:K7)</f>
        <v>737.82</v>
      </c>
      <c r="M7" s="8">
        <v>0</v>
      </c>
      <c r="N7" s="8">
        <v>0</v>
      </c>
    </row>
    <row r="8" spans="1:14" x14ac:dyDescent="0.3">
      <c r="A8" t="s">
        <v>9</v>
      </c>
      <c r="B8" s="8">
        <f>'Data Sheet'!B26</f>
        <v>5672.88</v>
      </c>
      <c r="C8" s="8">
        <f>'Data Sheet'!C26</f>
        <v>5741.7</v>
      </c>
      <c r="D8" s="8">
        <f>'Data Sheet'!D26</f>
        <v>7341.83</v>
      </c>
      <c r="E8" s="8">
        <f>'Data Sheet'!E26</f>
        <v>8440.73</v>
      </c>
      <c r="F8" s="8">
        <f>'Data Sheet'!F26</f>
        <v>9233.64</v>
      </c>
      <c r="G8" s="8">
        <f>'Data Sheet'!G26</f>
        <v>9100.8700000000008</v>
      </c>
      <c r="H8" s="8">
        <f>'Data Sheet'!H26</f>
        <v>9335.2000000000007</v>
      </c>
      <c r="I8" s="8">
        <f>'Data Sheet'!I26</f>
        <v>9882.16</v>
      </c>
      <c r="J8" s="8">
        <f>'Data Sheet'!J26</f>
        <v>10421.33</v>
      </c>
      <c r="K8" s="8">
        <f>'Data Sheet'!K26</f>
        <v>11954.51</v>
      </c>
      <c r="L8" s="8">
        <f>SUM(Quarters!H8:K8)</f>
        <v>11954.51</v>
      </c>
      <c r="M8" s="8">
        <f>+$L8</f>
        <v>11954.51</v>
      </c>
      <c r="N8" s="8">
        <f>+$L8</f>
        <v>11954.51</v>
      </c>
    </row>
    <row r="9" spans="1:14" x14ac:dyDescent="0.3">
      <c r="A9" t="s">
        <v>10</v>
      </c>
      <c r="B9" s="8">
        <f>'Data Sheet'!B27</f>
        <v>5072.2</v>
      </c>
      <c r="C9" s="8">
        <f>'Data Sheet'!C27</f>
        <v>5454.74</v>
      </c>
      <c r="D9" s="8">
        <f>'Data Sheet'!D27</f>
        <v>7660.1</v>
      </c>
      <c r="E9" s="8">
        <f>'Data Sheet'!E27</f>
        <v>7533.46</v>
      </c>
      <c r="F9" s="8">
        <f>'Data Sheet'!F27</f>
        <v>7606.71</v>
      </c>
      <c r="G9" s="8">
        <f>'Data Sheet'!G27</f>
        <v>5462.2</v>
      </c>
      <c r="H9" s="8">
        <f>'Data Sheet'!H27</f>
        <v>6298.7</v>
      </c>
      <c r="I9" s="8">
        <f>'Data Sheet'!I27</f>
        <v>7507.57</v>
      </c>
      <c r="J9" s="8">
        <f>'Data Sheet'!J27</f>
        <v>7340.95</v>
      </c>
      <c r="K9" s="8">
        <f>'Data Sheet'!K27</f>
        <v>7167.06</v>
      </c>
      <c r="L9" s="8">
        <f>SUM(Quarters!H9:K9)</f>
        <v>7167.06</v>
      </c>
      <c r="M9" s="8">
        <f>+$L9</f>
        <v>7167.06</v>
      </c>
      <c r="N9" s="8">
        <f>+$L9</f>
        <v>7167.06</v>
      </c>
    </row>
    <row r="10" spans="1:14" x14ac:dyDescent="0.3">
      <c r="A10" t="s">
        <v>11</v>
      </c>
      <c r="B10" s="8">
        <f>'Data Sheet'!B28</f>
        <v>-1390.56</v>
      </c>
      <c r="C10" s="8">
        <f>'Data Sheet'!C28</f>
        <v>21135.16</v>
      </c>
      <c r="D10" s="8">
        <f>'Data Sheet'!D28</f>
        <v>15840.6</v>
      </c>
      <c r="E10" s="8">
        <f>'Data Sheet'!E28</f>
        <v>-1394.76</v>
      </c>
      <c r="F10" s="8">
        <f>'Data Sheet'!F28</f>
        <v>13843.69</v>
      </c>
      <c r="G10" s="8">
        <f>'Data Sheet'!G28</f>
        <v>50226.87</v>
      </c>
      <c r="H10" s="8">
        <f>'Data Sheet'!H28</f>
        <v>18235.12</v>
      </c>
      <c r="I10" s="8">
        <f>'Data Sheet'!I28</f>
        <v>-1147.04</v>
      </c>
      <c r="J10" s="8">
        <f>'Data Sheet'!J28</f>
        <v>8412.8700000000008</v>
      </c>
      <c r="K10" s="8">
        <f>'Data Sheet'!K28</f>
        <v>15968.69</v>
      </c>
      <c r="L10" s="8">
        <f>SUM(Quarters!H10:K10)</f>
        <v>15968.689999999999</v>
      </c>
      <c r="M10" s="8">
        <f>M6+M7-SUM(M8:M9)</f>
        <v>17368.234022355195</v>
      </c>
      <c r="N10" s="8">
        <f>N6+N7-SUM(N8:N9)</f>
        <v>8406.9924464919459</v>
      </c>
    </row>
    <row r="11" spans="1:14" x14ac:dyDescent="0.3">
      <c r="A11" t="s">
        <v>12</v>
      </c>
      <c r="B11" s="8">
        <f>'Data Sheet'!B29</f>
        <v>2778.01</v>
      </c>
      <c r="C11" s="8">
        <f>'Data Sheet'!C29</f>
        <v>3392.33</v>
      </c>
      <c r="D11" s="8">
        <f>'Data Sheet'!D29</f>
        <v>6718.43</v>
      </c>
      <c r="E11" s="8">
        <f>'Data Sheet'!E29</f>
        <v>-2568.41</v>
      </c>
      <c r="F11" s="8">
        <f>'Data Sheet'!F29</f>
        <v>5653.9</v>
      </c>
      <c r="G11" s="8">
        <f>'Data Sheet'!G29</f>
        <v>8477.5499999999993</v>
      </c>
      <c r="H11" s="8">
        <f>'Data Sheet'!H29</f>
        <v>10159.77</v>
      </c>
      <c r="I11" s="8">
        <f>'Data Sheet'!I29</f>
        <v>3762.57</v>
      </c>
      <c r="J11" s="8">
        <f>'Data Sheet'!J29</f>
        <v>5239.09</v>
      </c>
      <c r="K11" s="8">
        <f>'Data Sheet'!K29</f>
        <v>5082.87</v>
      </c>
      <c r="L11" s="8">
        <f>SUM(Quarters!H11:K11)</f>
        <v>5082.8700000000008</v>
      </c>
      <c r="M11" s="9">
        <f>IF($L10&gt;0,$L11/$L10,0)</f>
        <v>0.3183022527207931</v>
      </c>
      <c r="N11" s="9">
        <f>IF($L10&gt;0,$L11/$L10,0)</f>
        <v>0.3183022527207931</v>
      </c>
    </row>
    <row r="12" spans="1:14" s="2" customFormat="1" x14ac:dyDescent="0.3">
      <c r="A12" s="2" t="s">
        <v>13</v>
      </c>
      <c r="B12" s="7">
        <f>'Data Sheet'!B30</f>
        <v>-4240.8</v>
      </c>
      <c r="C12" s="7">
        <f>'Data Sheet'!C30</f>
        <v>13434.33</v>
      </c>
      <c r="D12" s="7">
        <f>'Data Sheet'!D30</f>
        <v>10218.33</v>
      </c>
      <c r="E12" s="7">
        <f>'Data Sheet'!E30</f>
        <v>1556.54</v>
      </c>
      <c r="F12" s="7">
        <f>'Data Sheet'!F30</f>
        <v>7490.22</v>
      </c>
      <c r="G12" s="7">
        <f>'Data Sheet'!G30</f>
        <v>40153.93</v>
      </c>
      <c r="H12" s="7">
        <f>'Data Sheet'!H30</f>
        <v>8760.4</v>
      </c>
      <c r="I12" s="7">
        <f>'Data Sheet'!I30</f>
        <v>-4437.4399999999996</v>
      </c>
      <c r="J12" s="7">
        <f>'Data Sheet'!J30</f>
        <v>3420.51</v>
      </c>
      <c r="K12" s="7">
        <f>'Data Sheet'!K30</f>
        <v>10793.87</v>
      </c>
      <c r="L12" s="7">
        <f>SUM(Quarters!H12:K12)</f>
        <v>10793.869999999999</v>
      </c>
      <c r="M12" s="7">
        <f>M10-M11*M10</f>
        <v>11839.886007257614</v>
      </c>
      <c r="N12" s="7">
        <f>N10-N11*N10</f>
        <v>5731.027812166868</v>
      </c>
    </row>
    <row r="13" spans="1:14" x14ac:dyDescent="0.3">
      <c r="A13" t="s">
        <v>14</v>
      </c>
      <c r="B13" s="8">
        <f>IF('Data Sheet'!B93&gt;0,B12/'Data Sheet'!B93,0)</f>
        <v>-3.7641795814027805</v>
      </c>
      <c r="C13" s="8">
        <f>IF('Data Sheet'!C93&gt;0,C12/'Data Sheet'!C93,0)</f>
        <v>11.925937433420922</v>
      </c>
      <c r="D13" s="8">
        <f>IF('Data Sheet'!D93&gt;0,D12/'Data Sheet'!D93,0)</f>
        <v>9.0709460359168741</v>
      </c>
      <c r="E13" s="8">
        <f>IF('Data Sheet'!E93&gt;0,E12/'Data Sheet'!E93,0)</f>
        <v>1.3817610453710196</v>
      </c>
      <c r="F13" s="8">
        <f>IF('Data Sheet'!F93&gt;0,F12/'Data Sheet'!F93,0)</f>
        <v>6.2596378040932992</v>
      </c>
      <c r="G13" s="8">
        <f>IF('Data Sheet'!G93&gt;0,G12/'Data Sheet'!G93,0)</f>
        <v>32.878023417669695</v>
      </c>
      <c r="H13" s="8">
        <f>IF('Data Sheet'!H93&gt;0,H12/'Data Sheet'!H93,0)</f>
        <v>7.1680235650288422</v>
      </c>
      <c r="I13" s="8">
        <f>IF('Data Sheet'!I93&gt;0,I12/'Data Sheet'!I93,0)</f>
        <v>-3.5546441302519325</v>
      </c>
      <c r="J13" s="8">
        <f>IF('Data Sheet'!J93&gt;0,J12/'Data Sheet'!J93,0)</f>
        <v>2.7400248327792691</v>
      </c>
      <c r="K13" s="8">
        <f>IF('Data Sheet'!K93&gt;0,K12/'Data Sheet'!K93,0)</f>
        <v>8.6465093923979666</v>
      </c>
      <c r="L13" s="8">
        <f>IF('Data Sheet'!$B6&gt;0,'Profit &amp; Loss'!L12/'Data Sheet'!$B6,0)</f>
        <v>8.6520349863398653</v>
      </c>
      <c r="M13" s="8">
        <f>IF('Data Sheet'!$B6&gt;0,'Profit &amp; Loss'!M12/'Data Sheet'!$B6,0)</f>
        <v>9.490489321167356</v>
      </c>
      <c r="N13" s="8">
        <f>IF('Data Sheet'!$B6&gt;0,'Profit &amp; Loss'!N12/'Data Sheet'!$B6,0)</f>
        <v>4.5938160398962147</v>
      </c>
    </row>
    <row r="14" spans="1:14" x14ac:dyDescent="0.3">
      <c r="A14" t="s">
        <v>15</v>
      </c>
      <c r="B14" s="8">
        <f t="shared" ref="B14:K14" si="1">IF(B15&gt;0,B15/B13,"")</f>
        <v>-12.217801782682512</v>
      </c>
      <c r="C14" s="8">
        <f t="shared" si="1"/>
        <v>4.7887220873687042</v>
      </c>
      <c r="D14" s="8">
        <f t="shared" si="1"/>
        <v>5.7436126059737749</v>
      </c>
      <c r="E14" s="8">
        <f t="shared" si="1"/>
        <v>19.511333084919116</v>
      </c>
      <c r="F14" s="8">
        <f t="shared" si="1"/>
        <v>12.970399013647127</v>
      </c>
      <c r="G14" s="8">
        <f t="shared" si="1"/>
        <v>3.975908111609499</v>
      </c>
      <c r="H14" s="8">
        <f t="shared" si="1"/>
        <v>14.578635107985937</v>
      </c>
      <c r="I14" s="8">
        <f t="shared" si="1"/>
        <v>-43.844051412526142</v>
      </c>
      <c r="J14" s="8">
        <f t="shared" si="1"/>
        <v>56.291460630139944</v>
      </c>
      <c r="K14" s="8">
        <f t="shared" si="1"/>
        <v>22.189301056988825</v>
      </c>
      <c r="L14" s="8">
        <f>IF(L13&gt;0,L15/L13,0)</f>
        <v>23.260423740511975</v>
      </c>
      <c r="M14" s="8">
        <f>M25</f>
        <v>33.913728475880248</v>
      </c>
      <c r="N14" s="8">
        <f>N25</f>
        <v>18.145532826571653</v>
      </c>
    </row>
    <row r="15" spans="1:14" s="2" customFormat="1" x14ac:dyDescent="0.3">
      <c r="A15" s="2" t="s">
        <v>16</v>
      </c>
      <c r="B15" s="7">
        <f>'Data Sheet'!B90</f>
        <v>45.99</v>
      </c>
      <c r="C15" s="7">
        <f>'Data Sheet'!C90</f>
        <v>57.11</v>
      </c>
      <c r="D15" s="7">
        <f>'Data Sheet'!D90</f>
        <v>52.1</v>
      </c>
      <c r="E15" s="7">
        <f>'Data Sheet'!E90</f>
        <v>26.96</v>
      </c>
      <c r="F15" s="7">
        <f>'Data Sheet'!F90</f>
        <v>81.19</v>
      </c>
      <c r="G15" s="7">
        <f>'Data Sheet'!G90</f>
        <v>130.72</v>
      </c>
      <c r="H15" s="7">
        <f>'Data Sheet'!H90</f>
        <v>104.5</v>
      </c>
      <c r="I15" s="7">
        <f>'Data Sheet'!I90</f>
        <v>155.85</v>
      </c>
      <c r="J15" s="7">
        <f>'Data Sheet'!J90</f>
        <v>154.24</v>
      </c>
      <c r="K15" s="7">
        <f>'Data Sheet'!K90</f>
        <v>191.86</v>
      </c>
      <c r="L15" s="7">
        <f>'Data Sheet'!B8</f>
        <v>201.25</v>
      </c>
      <c r="M15" s="10">
        <f>M13*M14</f>
        <v>321.85787794131079</v>
      </c>
      <c r="N15" s="11">
        <f>N13*N14</f>
        <v>83.357239751168152</v>
      </c>
    </row>
    <row r="17" spans="1:14" s="2" customFormat="1" x14ac:dyDescent="0.3">
      <c r="A17" s="2" t="s">
        <v>17</v>
      </c>
    </row>
    <row r="18" spans="1:14" x14ac:dyDescent="0.3">
      <c r="A18" t="s">
        <v>18</v>
      </c>
      <c r="B18" s="12">
        <f>IF('Data Sheet'!B30&gt;0, 'Data Sheet'!B31/'Data Sheet'!B30, 0)</f>
        <v>0</v>
      </c>
      <c r="C18" s="12">
        <f>IF('Data Sheet'!C30&gt;0, 'Data Sheet'!C31/'Data Sheet'!C30, 0)</f>
        <v>8.5225686729446137E-2</v>
      </c>
      <c r="D18" s="12">
        <f>IF('Data Sheet'!D30&gt;0, 'Data Sheet'!D31/'Data Sheet'!D30, 0)</f>
        <v>0.14566176664875768</v>
      </c>
      <c r="E18" s="12">
        <f>IF('Data Sheet'!E30&gt;0, 'Data Sheet'!E31/'Data Sheet'!E30, 0)</f>
        <v>0.73557377259819856</v>
      </c>
      <c r="F18" s="12">
        <f>IF('Data Sheet'!F30&gt;0, 'Data Sheet'!F31/'Data Sheet'!F30, 0)</f>
        <v>0.39972390664092644</v>
      </c>
      <c r="G18" s="12">
        <f>IF('Data Sheet'!G30&gt;0, 'Data Sheet'!G31/'Data Sheet'!G30, 0)</f>
        <v>0.15510735810915643</v>
      </c>
      <c r="H18" s="12">
        <f>IF('Data Sheet'!H30&gt;0, 'Data Sheet'!H31/'Data Sheet'!H30, 0)</f>
        <v>0.50185607963106715</v>
      </c>
      <c r="I18" s="12">
        <f>IF('Data Sheet'!I30&gt;0, 'Data Sheet'!I31/'Data Sheet'!I30, 0)</f>
        <v>0</v>
      </c>
      <c r="J18" s="12">
        <f>IF('Data Sheet'!J30&gt;0, 'Data Sheet'!J31/'Data Sheet'!J30, 0)</f>
        <v>1.3128977842485476</v>
      </c>
      <c r="K18" s="12">
        <f>IF('Data Sheet'!K30&gt;0, 'Data Sheet'!K31/'Data Sheet'!K30, 0)</f>
        <v>0.46227719992921906</v>
      </c>
    </row>
    <row r="19" spans="1:14" x14ac:dyDescent="0.3">
      <c r="A19" t="s">
        <v>19</v>
      </c>
      <c r="B19" s="12">
        <f t="shared" ref="B19:L19" si="2">IF(B6&gt;0,B6/B4,0)</f>
        <v>0.11704094286506547</v>
      </c>
      <c r="C19" s="12">
        <f t="shared" si="2"/>
        <v>0.17390143390128623</v>
      </c>
      <c r="D19" s="12">
        <f t="shared" si="2"/>
        <v>0.18594791531296043</v>
      </c>
      <c r="E19" s="12">
        <f t="shared" si="2"/>
        <v>0.12489971687921288</v>
      </c>
      <c r="F19" s="12">
        <f t="shared" si="2"/>
        <v>0.19494355095368393</v>
      </c>
      <c r="G19" s="12">
        <f t="shared" si="2"/>
        <v>0.26024826203499563</v>
      </c>
      <c r="H19" s="12">
        <f t="shared" si="2"/>
        <v>0.13272982517678367</v>
      </c>
      <c r="I19" s="12">
        <f t="shared" si="2"/>
        <v>9.7080090227907687E-2</v>
      </c>
      <c r="J19" s="12">
        <f t="shared" si="2"/>
        <v>0.11575985834517953</v>
      </c>
      <c r="K19" s="12">
        <f t="shared" si="2"/>
        <v>0.14798160109802735</v>
      </c>
      <c r="L19" s="12">
        <f t="shared" si="2"/>
        <v>0.14798160109802735</v>
      </c>
    </row>
    <row r="20" spans="1:14" x14ac:dyDescent="0.3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spans="1:14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4" s="2" customFormat="1" x14ac:dyDescent="0.3">
      <c r="A22" s="4"/>
      <c r="B22" s="5"/>
      <c r="C22" s="5"/>
      <c r="D22" s="5"/>
      <c r="E22" s="5"/>
      <c r="F22" s="5"/>
      <c r="G22" s="5" t="s">
        <v>20</v>
      </c>
      <c r="H22" s="5" t="s">
        <v>21</v>
      </c>
      <c r="I22" s="5" t="s">
        <v>22</v>
      </c>
      <c r="J22" s="5" t="s">
        <v>23</v>
      </c>
      <c r="K22" s="5" t="s">
        <v>24</v>
      </c>
      <c r="L22" s="6" t="s">
        <v>25</v>
      </c>
      <c r="M22" s="6" t="s">
        <v>26</v>
      </c>
      <c r="N22" s="6" t="s">
        <v>27</v>
      </c>
    </row>
    <row r="23" spans="1:14" s="2" customFormat="1" x14ac:dyDescent="0.3">
      <c r="G23" s="2" t="s">
        <v>28</v>
      </c>
      <c r="H23" s="12">
        <f>IF(B4=0,"",POWER($K4/B4,1/9)-1)</f>
        <v>8.4030178416981904E-2</v>
      </c>
      <c r="I23" s="12">
        <f>IF(D4=0,"",POWER($K4/D4,1/7)-1)</f>
        <v>5.6818754508975777E-2</v>
      </c>
      <c r="J23" s="12">
        <f>IF(F4=0,"",POWER($K4/F4,1/5)-1)</f>
        <v>8.2080695701207018E-2</v>
      </c>
      <c r="K23" s="12">
        <f>IF(H4=0,"",POWER($K4/H4, 1/3)-1)</f>
        <v>-1.5600829974961705E-2</v>
      </c>
      <c r="L23" s="12">
        <f>IF(ISERROR(MAX(IF(J4=0,"",(K4-J4)/J4),IF(K4=0,"",(L4-K4)/K4))),"",MAX(IF(J4=0,"",(K4-J4)/J4),IF(K4=0,"",(L4-K4)/K4)))</f>
        <v>6.2218696033096682E-2</v>
      </c>
      <c r="M23" s="13">
        <f>MAX(K23:L23)</f>
        <v>6.2218696033096682E-2</v>
      </c>
      <c r="N23" s="13">
        <f>MIN(H23:L23)</f>
        <v>-1.5600829974961705E-2</v>
      </c>
    </row>
    <row r="24" spans="1:14" x14ac:dyDescent="0.3">
      <c r="G24" t="s">
        <v>19</v>
      </c>
      <c r="H24" s="12">
        <f>IF(SUM(B4:$K$4)=0,"",SUMPRODUCT(B19:$K$19,B4:$K$4)/SUM(B4:$K$4))</f>
        <v>0.15595137940607018</v>
      </c>
      <c r="I24" s="12">
        <f>IF(SUM(E4:$K$4)=0,"",SUMPRODUCT(E19:$K$19,E4:$K$4)/SUM(E4:$K$4))</f>
        <v>0.15419374127520913</v>
      </c>
      <c r="J24" s="12">
        <f>IF(SUM(G4:$K$4)=0,"",SUMPRODUCT(G19:$K$19,G4:$K$4)/SUM(G4:$K$4))</f>
        <v>0.15223974870598642</v>
      </c>
      <c r="K24" s="12">
        <f>IF(SUM(I4:$K$4)=0, "", SUMPRODUCT(I19:$K$19,I4:$K$4)/SUM(I4:$K$4))</f>
        <v>0.12046542751587717</v>
      </c>
      <c r="L24" s="12">
        <f>L19</f>
        <v>0.14798160109802735</v>
      </c>
      <c r="M24" s="13">
        <f>MAX(K24:L24)</f>
        <v>0.14798160109802735</v>
      </c>
      <c r="N24" s="13">
        <f>MIN(H24:L24)</f>
        <v>0.12046542751587717</v>
      </c>
    </row>
    <row r="25" spans="1:14" x14ac:dyDescent="0.3">
      <c r="G25" t="s">
        <v>29</v>
      </c>
      <c r="H25" s="8">
        <f>IF(ISERROR(AVERAGEIF(B14:$L14,"&gt;0")),"",AVERAGEIF(B14:$L14,"&gt;0"))</f>
        <v>18.145532826571653</v>
      </c>
      <c r="I25" s="8">
        <f>IF(ISERROR(AVERAGEIF(E14:$L14,"&gt;0")),"",AVERAGEIF(E14:$L14,"&gt;0"))</f>
        <v>21.825351535114631</v>
      </c>
      <c r="J25" s="8">
        <f>IF(ISERROR(AVERAGEIF(G14:$L14,"&gt;0")),"",AVERAGEIF(G14:$L14,"&gt;0"))</f>
        <v>24.059145729447238</v>
      </c>
      <c r="K25" s="8">
        <f>IF(ISERROR(AVERAGEIF(I14:$L14,"&gt;0")),"",AVERAGEIF(I14:$L14,"&gt;0"))</f>
        <v>33.913728475880248</v>
      </c>
      <c r="L25" s="8">
        <f>L14</f>
        <v>23.260423740511975</v>
      </c>
      <c r="M25" s="7">
        <f>MAX(K25:L25)</f>
        <v>33.913728475880248</v>
      </c>
      <c r="N25" s="7">
        <f>MIN(H25:L25)</f>
        <v>18.145532826571653</v>
      </c>
    </row>
  </sheetData>
  <hyperlinks>
    <hyperlink ref="M1" r:id="rId1" xr:uid="{00000000-0004-0000-0000-000000000000}"/>
  </hyperlinks>
  <printOptions gridLines="1"/>
  <pageMargins left="0.7" right="0.7" top="0.75" bottom="0.75" header="0.511811023622047" footer="0.511811023622047"/>
  <pageSetup paperSize="9" orientation="landscape" horizontalDpi="300" verticalDpi="30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2"/>
  <sheetViews>
    <sheetView zoomScale="150" zoomScaleNormal="150" workbookViewId="0">
      <pane xSplit="1" ySplit="3" topLeftCell="D4" activePane="bottomRight" state="frozen"/>
      <selection pane="topRight" activeCell="D1" sqref="D1"/>
      <selection pane="bottomLeft" activeCell="A4" sqref="A4"/>
      <selection pane="bottomRight" activeCell="D26" sqref="D26"/>
    </sheetView>
  </sheetViews>
  <sheetFormatPr defaultColWidth="8.77734375" defaultRowHeight="14.4" x14ac:dyDescent="0.3"/>
  <cols>
    <col min="1" max="1" width="20.6640625" customWidth="1"/>
    <col min="2" max="11" width="13.44140625" customWidth="1"/>
  </cols>
  <sheetData>
    <row r="1" spans="1:11" s="2" customFormat="1" x14ac:dyDescent="0.3">
      <c r="A1" s="2" t="str">
        <f>'Profit &amp; Loss'!A1</f>
        <v>TATA STEEL LTD</v>
      </c>
      <c r="J1" s="2" t="s">
        <v>0</v>
      </c>
    </row>
    <row r="3" spans="1:11" s="2" customFormat="1" x14ac:dyDescent="0.3">
      <c r="A3" s="4" t="s">
        <v>1</v>
      </c>
      <c r="B3" s="5">
        <f>'Data Sheet'!B41</f>
        <v>45291</v>
      </c>
      <c r="C3" s="5">
        <f>'Data Sheet'!C41</f>
        <v>45382</v>
      </c>
      <c r="D3" s="5">
        <f>'Data Sheet'!D41</f>
        <v>45473</v>
      </c>
      <c r="E3" s="5">
        <f>'Data Sheet'!E41</f>
        <v>45565</v>
      </c>
      <c r="F3" s="5">
        <f>'Data Sheet'!F41</f>
        <v>45657</v>
      </c>
      <c r="G3" s="5">
        <f>'Data Sheet'!G41</f>
        <v>45747</v>
      </c>
      <c r="H3" s="5">
        <f>'Data Sheet'!H41</f>
        <v>45838</v>
      </c>
      <c r="I3" s="5">
        <f>'Data Sheet'!I41</f>
        <v>45930</v>
      </c>
      <c r="J3" s="5">
        <f>'Data Sheet'!J41</f>
        <v>46022</v>
      </c>
      <c r="K3" s="5">
        <f>'Data Sheet'!K41</f>
        <v>46112</v>
      </c>
    </row>
    <row r="4" spans="1:11" s="2" customFormat="1" x14ac:dyDescent="0.3">
      <c r="A4" s="2" t="s">
        <v>5</v>
      </c>
      <c r="B4" s="7">
        <f>'Data Sheet'!B42</f>
        <v>55311.88</v>
      </c>
      <c r="C4" s="7">
        <f>'Data Sheet'!C42</f>
        <v>58687.31</v>
      </c>
      <c r="D4" s="7">
        <f>'Data Sheet'!D42</f>
        <v>54771.39</v>
      </c>
      <c r="E4" s="7">
        <f>'Data Sheet'!E42</f>
        <v>53904.71</v>
      </c>
      <c r="F4" s="7">
        <f>'Data Sheet'!F42</f>
        <v>53648.3</v>
      </c>
      <c r="G4" s="7">
        <f>'Data Sheet'!G42</f>
        <v>56218.11</v>
      </c>
      <c r="H4" s="7">
        <f>'Data Sheet'!H42</f>
        <v>53178.12</v>
      </c>
      <c r="I4" s="7">
        <f>'Data Sheet'!I42</f>
        <v>58689.29</v>
      </c>
      <c r="J4" s="7">
        <f>'Data Sheet'!J42</f>
        <v>57002.400000000001</v>
      </c>
      <c r="K4" s="7">
        <f>'Data Sheet'!K42</f>
        <v>63270.13</v>
      </c>
    </row>
    <row r="5" spans="1:11" x14ac:dyDescent="0.3">
      <c r="A5" t="s">
        <v>6</v>
      </c>
      <c r="B5" s="8">
        <f>'Data Sheet'!B43</f>
        <v>49048.31</v>
      </c>
      <c r="C5" s="8">
        <f>'Data Sheet'!C43</f>
        <v>52086.68</v>
      </c>
      <c r="D5" s="8">
        <f>'Data Sheet'!D43</f>
        <v>48076.92</v>
      </c>
      <c r="E5" s="8">
        <f>'Data Sheet'!E43</f>
        <v>47788.92</v>
      </c>
      <c r="F5" s="8">
        <f>'Data Sheet'!F43</f>
        <v>47744.81</v>
      </c>
      <c r="G5" s="8">
        <f>'Data Sheet'!G43</f>
        <v>49658.89</v>
      </c>
      <c r="H5" s="8">
        <f>'Data Sheet'!H43</f>
        <v>45750.58</v>
      </c>
      <c r="I5" s="8">
        <f>'Data Sheet'!I43</f>
        <v>49792.75</v>
      </c>
      <c r="J5" s="8">
        <f>'Data Sheet'!J43</f>
        <v>48802.7</v>
      </c>
      <c r="K5" s="8">
        <f>'Data Sheet'!K43</f>
        <v>53441.47</v>
      </c>
    </row>
    <row r="6" spans="1:11" s="2" customFormat="1" x14ac:dyDescent="0.3">
      <c r="A6" s="2" t="s">
        <v>7</v>
      </c>
      <c r="B6" s="7">
        <f>'Data Sheet'!B50</f>
        <v>6263.57</v>
      </c>
      <c r="C6" s="7">
        <f>'Data Sheet'!C50</f>
        <v>6600.63</v>
      </c>
      <c r="D6" s="7">
        <f>'Data Sheet'!D50</f>
        <v>6694.47</v>
      </c>
      <c r="E6" s="7">
        <f>'Data Sheet'!E50</f>
        <v>6115.79</v>
      </c>
      <c r="F6" s="7">
        <f>'Data Sheet'!F50</f>
        <v>5903.49</v>
      </c>
      <c r="G6" s="7">
        <f>'Data Sheet'!G50</f>
        <v>6559.22</v>
      </c>
      <c r="H6" s="7">
        <f>'Data Sheet'!H50</f>
        <v>7427.54</v>
      </c>
      <c r="I6" s="7">
        <f>'Data Sheet'!I50</f>
        <v>8896.5400000000009</v>
      </c>
      <c r="J6" s="7">
        <f>'Data Sheet'!J50</f>
        <v>8199.7000000000007</v>
      </c>
      <c r="K6" s="7">
        <f>'Data Sheet'!K50</f>
        <v>9828.66</v>
      </c>
    </row>
    <row r="7" spans="1:11" x14ac:dyDescent="0.3">
      <c r="A7" t="s">
        <v>8</v>
      </c>
      <c r="B7" s="8">
        <f>'Data Sheet'!B44</f>
        <v>-32.840000000000003</v>
      </c>
      <c r="C7" s="8">
        <f>'Data Sheet'!C44</f>
        <v>-381.56</v>
      </c>
      <c r="D7" s="8">
        <f>'Data Sheet'!D44</f>
        <v>-5.51</v>
      </c>
      <c r="E7" s="8">
        <f>'Data Sheet'!E44</f>
        <v>616.67999999999995</v>
      </c>
      <c r="F7" s="8">
        <f>'Data Sheet'!F44</f>
        <v>141.82</v>
      </c>
      <c r="G7" s="8">
        <f>'Data Sheet'!G44</f>
        <v>149.19</v>
      </c>
      <c r="H7" s="8">
        <f>'Data Sheet'!H44</f>
        <v>236.27</v>
      </c>
      <c r="I7" s="8">
        <f>'Data Sheet'!I44</f>
        <v>-6.11</v>
      </c>
      <c r="J7" s="8">
        <f>'Data Sheet'!J44</f>
        <v>465.17</v>
      </c>
      <c r="K7" s="8">
        <f>'Data Sheet'!K44</f>
        <v>42.49</v>
      </c>
    </row>
    <row r="8" spans="1:11" x14ac:dyDescent="0.3">
      <c r="A8" t="s">
        <v>9</v>
      </c>
      <c r="B8" s="8">
        <f>'Data Sheet'!B45</f>
        <v>2422.04</v>
      </c>
      <c r="C8" s="8">
        <f>'Data Sheet'!C45</f>
        <v>2567.9499999999998</v>
      </c>
      <c r="D8" s="8">
        <f>'Data Sheet'!D45</f>
        <v>2535.4299999999998</v>
      </c>
      <c r="E8" s="8">
        <f>'Data Sheet'!E45</f>
        <v>2596.7399999999998</v>
      </c>
      <c r="F8" s="8">
        <f>'Data Sheet'!F45</f>
        <v>2569.19</v>
      </c>
      <c r="G8" s="8">
        <f>'Data Sheet'!G45</f>
        <v>2719.97</v>
      </c>
      <c r="H8" s="8">
        <f>'Data Sheet'!H45</f>
        <v>2744.3</v>
      </c>
      <c r="I8" s="8">
        <f>'Data Sheet'!I45</f>
        <v>2893</v>
      </c>
      <c r="J8" s="8">
        <f>'Data Sheet'!J45</f>
        <v>3048.81</v>
      </c>
      <c r="K8" s="8">
        <f>'Data Sheet'!K45</f>
        <v>3268.4</v>
      </c>
    </row>
    <row r="9" spans="1:11" x14ac:dyDescent="0.3">
      <c r="A9" t="s">
        <v>10</v>
      </c>
      <c r="B9" s="8">
        <f>'Data Sheet'!B46</f>
        <v>1880.78</v>
      </c>
      <c r="C9" s="8">
        <f>'Data Sheet'!C46</f>
        <v>1842.25</v>
      </c>
      <c r="D9" s="8">
        <f>'Data Sheet'!D46</f>
        <v>1776.71</v>
      </c>
      <c r="E9" s="8">
        <f>'Data Sheet'!E46</f>
        <v>1971.4</v>
      </c>
      <c r="F9" s="8">
        <f>'Data Sheet'!F46</f>
        <v>1804.09</v>
      </c>
      <c r="G9" s="8">
        <f>'Data Sheet'!G46</f>
        <v>1788.75</v>
      </c>
      <c r="H9" s="8">
        <f>'Data Sheet'!H46</f>
        <v>1852.43</v>
      </c>
      <c r="I9" s="8">
        <f>'Data Sheet'!I46</f>
        <v>1774.96</v>
      </c>
      <c r="J9" s="8">
        <f>'Data Sheet'!J46</f>
        <v>1747.29</v>
      </c>
      <c r="K9" s="8">
        <f>'Data Sheet'!K46</f>
        <v>1792.38</v>
      </c>
    </row>
    <row r="10" spans="1:11" x14ac:dyDescent="0.3">
      <c r="A10" t="s">
        <v>11</v>
      </c>
      <c r="B10" s="8">
        <f>'Data Sheet'!B47</f>
        <v>1927.91</v>
      </c>
      <c r="C10" s="8">
        <f>'Data Sheet'!C47</f>
        <v>1808.87</v>
      </c>
      <c r="D10" s="8">
        <f>'Data Sheet'!D47</f>
        <v>2376.8200000000002</v>
      </c>
      <c r="E10" s="8">
        <f>'Data Sheet'!E47</f>
        <v>2164.33</v>
      </c>
      <c r="F10" s="8">
        <f>'Data Sheet'!F47</f>
        <v>1672.03</v>
      </c>
      <c r="G10" s="8">
        <f>'Data Sheet'!G47</f>
        <v>2199.69</v>
      </c>
      <c r="H10" s="8">
        <f>'Data Sheet'!H47</f>
        <v>3067.08</v>
      </c>
      <c r="I10" s="8">
        <f>'Data Sheet'!I47</f>
        <v>4222.47</v>
      </c>
      <c r="J10" s="8">
        <f>'Data Sheet'!J47</f>
        <v>3868.77</v>
      </c>
      <c r="K10" s="8">
        <f>'Data Sheet'!K47</f>
        <v>4810.37</v>
      </c>
    </row>
    <row r="11" spans="1:11" x14ac:dyDescent="0.3">
      <c r="A11" t="s">
        <v>12</v>
      </c>
      <c r="B11" s="8">
        <f>'Data Sheet'!B48</f>
        <v>1405.77</v>
      </c>
      <c r="C11" s="8">
        <f>'Data Sheet'!C48</f>
        <v>1254.31</v>
      </c>
      <c r="D11" s="8">
        <f>'Data Sheet'!D48</f>
        <v>1458.25</v>
      </c>
      <c r="E11" s="8">
        <f>'Data Sheet'!E48</f>
        <v>1405.49</v>
      </c>
      <c r="F11" s="8">
        <f>'Data Sheet'!F48</f>
        <v>1376.54</v>
      </c>
      <c r="G11" s="8">
        <f>'Data Sheet'!G48</f>
        <v>998.81</v>
      </c>
      <c r="H11" s="8">
        <f>'Data Sheet'!H48</f>
        <v>1059.72</v>
      </c>
      <c r="I11" s="8">
        <f>'Data Sheet'!I48</f>
        <v>1039.3800000000001</v>
      </c>
      <c r="J11" s="8">
        <f>'Data Sheet'!J48</f>
        <v>1138.4000000000001</v>
      </c>
      <c r="K11" s="8">
        <f>'Data Sheet'!K48</f>
        <v>1845.37</v>
      </c>
    </row>
    <row r="12" spans="1:11" s="2" customFormat="1" x14ac:dyDescent="0.3">
      <c r="A12" s="2" t="s">
        <v>13</v>
      </c>
      <c r="B12" s="7">
        <f>'Data Sheet'!B49</f>
        <v>513.37</v>
      </c>
      <c r="C12" s="7">
        <f>'Data Sheet'!C49</f>
        <v>611.48</v>
      </c>
      <c r="D12" s="7">
        <f>'Data Sheet'!D49</f>
        <v>959.61</v>
      </c>
      <c r="E12" s="7">
        <f>'Data Sheet'!E49</f>
        <v>833.45</v>
      </c>
      <c r="F12" s="7">
        <f>'Data Sheet'!F49</f>
        <v>326.64</v>
      </c>
      <c r="G12" s="7">
        <f>'Data Sheet'!G49</f>
        <v>1300.81</v>
      </c>
      <c r="H12" s="7">
        <f>'Data Sheet'!H49</f>
        <v>2077.6799999999998</v>
      </c>
      <c r="I12" s="7">
        <f>'Data Sheet'!I49</f>
        <v>3101.75</v>
      </c>
      <c r="J12" s="7">
        <f>'Data Sheet'!J49</f>
        <v>2688.7</v>
      </c>
      <c r="K12" s="7">
        <f>'Data Sheet'!K49</f>
        <v>2925.74</v>
      </c>
    </row>
    <row r="14" spans="1:11" s="2" customFormat="1" x14ac:dyDescent="0.3">
      <c r="A14" s="2" t="s">
        <v>19</v>
      </c>
      <c r="B14" s="14">
        <f t="shared" ref="B14:K14" si="0">IF(B4&gt;0,B6/B4,"")</f>
        <v>0.11324095293813914</v>
      </c>
      <c r="C14" s="14">
        <f t="shared" si="0"/>
        <v>0.11247116284593722</v>
      </c>
      <c r="D14" s="14">
        <f t="shared" si="0"/>
        <v>0.12222567292887765</v>
      </c>
      <c r="E14" s="14">
        <f t="shared" si="0"/>
        <v>0.11345557744397475</v>
      </c>
      <c r="F14" s="14">
        <f t="shared" si="0"/>
        <v>0.11004057910502289</v>
      </c>
      <c r="G14" s="14">
        <f t="shared" si="0"/>
        <v>0.11667450222001416</v>
      </c>
      <c r="H14" s="14">
        <f t="shared" si="0"/>
        <v>0.13967285793480474</v>
      </c>
      <c r="I14" s="14">
        <f t="shared" si="0"/>
        <v>0.15158711240159833</v>
      </c>
      <c r="J14" s="14">
        <f t="shared" si="0"/>
        <v>0.14384832919315679</v>
      </c>
      <c r="K14" s="14">
        <f t="shared" si="0"/>
        <v>0.1553443939501942</v>
      </c>
    </row>
    <row r="22" s="15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511811023622047" footer="0.511811023622047"/>
  <pageSetup paperSize="9" orientation="landscape" horizontalDpi="300" verticalDpi="30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4"/>
  <sheetViews>
    <sheetView zoomScale="96" zoomScaleNormal="9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6" sqref="D26"/>
    </sheetView>
  </sheetViews>
  <sheetFormatPr defaultColWidth="8.77734375" defaultRowHeight="14.4" x14ac:dyDescent="0.3"/>
  <cols>
    <col min="1" max="1" width="22.77734375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TATA STEEL LTD</v>
      </c>
      <c r="J1" s="2" t="s">
        <v>0</v>
      </c>
    </row>
    <row r="2" spans="1:11" x14ac:dyDescent="0.3">
      <c r="G2" s="2"/>
      <c r="H2" s="2"/>
    </row>
    <row r="3" spans="1:11" x14ac:dyDescent="0.3">
      <c r="A3" s="4" t="s">
        <v>1</v>
      </c>
      <c r="B3" s="5">
        <f>'Data Sheet'!B56</f>
        <v>42825</v>
      </c>
      <c r="C3" s="5">
        <f>'Data Sheet'!C56</f>
        <v>43190</v>
      </c>
      <c r="D3" s="5">
        <f>'Data Sheet'!D56</f>
        <v>43555</v>
      </c>
      <c r="E3" s="5">
        <f>'Data Sheet'!E56</f>
        <v>43921</v>
      </c>
      <c r="F3" s="5">
        <f>'Data Sheet'!F56</f>
        <v>44286</v>
      </c>
      <c r="G3" s="5">
        <f>'Data Sheet'!G56</f>
        <v>44651</v>
      </c>
      <c r="H3" s="5">
        <f>'Data Sheet'!H56</f>
        <v>45016</v>
      </c>
      <c r="I3" s="5">
        <f>'Data Sheet'!I56</f>
        <v>45382</v>
      </c>
      <c r="J3" s="5">
        <f>'Data Sheet'!J56</f>
        <v>45747</v>
      </c>
      <c r="K3" s="5">
        <f>'Data Sheet'!K56</f>
        <v>46112</v>
      </c>
    </row>
    <row r="4" spans="1:11" x14ac:dyDescent="0.3">
      <c r="A4" t="s">
        <v>30</v>
      </c>
      <c r="B4" s="16">
        <f>'Data Sheet'!B57</f>
        <v>970.24</v>
      </c>
      <c r="C4" s="16">
        <f>'Data Sheet'!C57</f>
        <v>1144.95</v>
      </c>
      <c r="D4" s="16">
        <f>'Data Sheet'!D57</f>
        <v>1144.94</v>
      </c>
      <c r="E4" s="16">
        <f>'Data Sheet'!E57</f>
        <v>1144.95</v>
      </c>
      <c r="F4" s="16">
        <f>'Data Sheet'!F57</f>
        <v>1197.6099999999999</v>
      </c>
      <c r="G4" s="16">
        <f>'Data Sheet'!G57</f>
        <v>1221.21</v>
      </c>
      <c r="H4" s="16">
        <f>'Data Sheet'!H57</f>
        <v>1221.24</v>
      </c>
      <c r="I4" s="16">
        <f>'Data Sheet'!I57</f>
        <v>1247.44</v>
      </c>
      <c r="J4" s="16">
        <f>'Data Sheet'!J57</f>
        <v>1247.44</v>
      </c>
      <c r="K4" s="16">
        <f>'Data Sheet'!K57</f>
        <v>1247.44</v>
      </c>
    </row>
    <row r="5" spans="1:11" x14ac:dyDescent="0.3">
      <c r="A5" t="s">
        <v>31</v>
      </c>
      <c r="B5" s="16">
        <f>'Data Sheet'!B58</f>
        <v>36849.08</v>
      </c>
      <c r="C5" s="16">
        <f>'Data Sheet'!C58</f>
        <v>59725.67</v>
      </c>
      <c r="D5" s="16">
        <f>'Data Sheet'!D58</f>
        <v>67780.14</v>
      </c>
      <c r="E5" s="16">
        <f>'Data Sheet'!E58</f>
        <v>72431.350000000006</v>
      </c>
      <c r="F5" s="16">
        <f>'Data Sheet'!F58</f>
        <v>73041.16</v>
      </c>
      <c r="G5" s="16">
        <f>'Data Sheet'!G58</f>
        <v>113221.83</v>
      </c>
      <c r="H5" s="16">
        <f>'Data Sheet'!H58</f>
        <v>101860.86</v>
      </c>
      <c r="I5" s="16">
        <f>'Data Sheet'!I58</f>
        <v>90788.32</v>
      </c>
      <c r="J5" s="16">
        <f>'Data Sheet'!J58</f>
        <v>89922.19</v>
      </c>
      <c r="K5" s="16">
        <f>'Data Sheet'!K58</f>
        <v>100920.21</v>
      </c>
    </row>
    <row r="6" spans="1:11" x14ac:dyDescent="0.3">
      <c r="A6" t="s">
        <v>32</v>
      </c>
      <c r="B6" s="16">
        <f>'Data Sheet'!B59</f>
        <v>83014.490000000005</v>
      </c>
      <c r="C6" s="16">
        <f>'Data Sheet'!C59</f>
        <v>92147.05</v>
      </c>
      <c r="D6" s="16">
        <f>'Data Sheet'!D59</f>
        <v>100816.22</v>
      </c>
      <c r="E6" s="16">
        <f>'Data Sheet'!E59</f>
        <v>116328.2</v>
      </c>
      <c r="F6" s="16">
        <f>'Data Sheet'!F59</f>
        <v>88501.41</v>
      </c>
      <c r="G6" s="16">
        <f>'Data Sheet'!G59</f>
        <v>75561.350000000006</v>
      </c>
      <c r="H6" s="16">
        <f>'Data Sheet'!H59</f>
        <v>84893.05</v>
      </c>
      <c r="I6" s="16">
        <f>'Data Sheet'!I59</f>
        <v>87082.12</v>
      </c>
      <c r="J6" s="16">
        <f>'Data Sheet'!J59</f>
        <v>94801.05</v>
      </c>
      <c r="K6" s="16">
        <f>'Data Sheet'!K59</f>
        <v>92381.68</v>
      </c>
    </row>
    <row r="7" spans="1:11" x14ac:dyDescent="0.3">
      <c r="A7" t="s">
        <v>33</v>
      </c>
      <c r="B7" s="16">
        <f>'Data Sheet'!B60</f>
        <v>51613.56</v>
      </c>
      <c r="C7" s="16">
        <f>'Data Sheet'!C60</f>
        <v>55704.47</v>
      </c>
      <c r="D7" s="16">
        <f>'Data Sheet'!D60</f>
        <v>63032.14</v>
      </c>
      <c r="E7" s="16">
        <f>'Data Sheet'!E60</f>
        <v>59244.62</v>
      </c>
      <c r="F7" s="16">
        <f>'Data Sheet'!F60</f>
        <v>81169.009999999995</v>
      </c>
      <c r="G7" s="16">
        <f>'Data Sheet'!G60</f>
        <v>92417.279999999999</v>
      </c>
      <c r="H7" s="16">
        <f>'Data Sheet'!H60</f>
        <v>97420.63</v>
      </c>
      <c r="I7" s="16">
        <f>'Data Sheet'!I60</f>
        <v>90194.54</v>
      </c>
      <c r="J7" s="16">
        <f>'Data Sheet'!J60</f>
        <v>89487.9</v>
      </c>
      <c r="K7" s="16">
        <f>'Data Sheet'!K60</f>
        <v>101965.29</v>
      </c>
    </row>
    <row r="8" spans="1:11" s="2" customFormat="1" x14ac:dyDescent="0.3">
      <c r="A8" s="2" t="s">
        <v>34</v>
      </c>
      <c r="B8" s="17">
        <f>'Data Sheet'!B61</f>
        <v>172447.37</v>
      </c>
      <c r="C8" s="17">
        <f>'Data Sheet'!C61</f>
        <v>208722.14</v>
      </c>
      <c r="D8" s="17">
        <f>'Data Sheet'!D61</f>
        <v>232773.44</v>
      </c>
      <c r="E8" s="17">
        <f>'Data Sheet'!E61</f>
        <v>249149.12</v>
      </c>
      <c r="F8" s="17">
        <f>'Data Sheet'!F61</f>
        <v>243909.19</v>
      </c>
      <c r="G8" s="17">
        <f>'Data Sheet'!G61</f>
        <v>282421.67</v>
      </c>
      <c r="H8" s="17">
        <f>'Data Sheet'!H61</f>
        <v>285395.78000000003</v>
      </c>
      <c r="I8" s="17">
        <f>'Data Sheet'!I61</f>
        <v>269312.42</v>
      </c>
      <c r="J8" s="17">
        <f>'Data Sheet'!J61</f>
        <v>275458.58</v>
      </c>
      <c r="K8" s="17">
        <f>'Data Sheet'!K61</f>
        <v>296514.62</v>
      </c>
    </row>
    <row r="9" spans="1:11" s="2" customFormat="1" x14ac:dyDescent="0.3"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x14ac:dyDescent="0.3">
      <c r="A10" t="s">
        <v>35</v>
      </c>
      <c r="B10" s="16">
        <f>'Data Sheet'!B62</f>
        <v>92006.55</v>
      </c>
      <c r="C10" s="16">
        <f>'Data Sheet'!C62</f>
        <v>96104.89</v>
      </c>
      <c r="D10" s="16">
        <f>'Data Sheet'!D62</f>
        <v>124441.91</v>
      </c>
      <c r="E10" s="16">
        <f>'Data Sheet'!E62</f>
        <v>134550.66</v>
      </c>
      <c r="F10" s="16">
        <f>'Data Sheet'!F62</f>
        <v>135775.18</v>
      </c>
      <c r="G10" s="16">
        <f>'Data Sheet'!G62</f>
        <v>133287.82999999999</v>
      </c>
      <c r="H10" s="16">
        <f>'Data Sheet'!H62</f>
        <v>146621.46</v>
      </c>
      <c r="I10" s="16">
        <f>'Data Sheet'!I62</f>
        <v>148814.38</v>
      </c>
      <c r="J10" s="16">
        <f>'Data Sheet'!J62</f>
        <v>150914.06</v>
      </c>
      <c r="K10" s="16">
        <f>'Data Sheet'!K62</f>
        <v>179908.13</v>
      </c>
    </row>
    <row r="11" spans="1:11" x14ac:dyDescent="0.3">
      <c r="A11" t="s">
        <v>36</v>
      </c>
      <c r="B11" s="16">
        <f>'Data Sheet'!B63</f>
        <v>15784.13</v>
      </c>
      <c r="C11" s="16">
        <f>'Data Sheet'!C63</f>
        <v>16614.41</v>
      </c>
      <c r="D11" s="16">
        <f>'Data Sheet'!D63</f>
        <v>18641.21</v>
      </c>
      <c r="E11" s="16">
        <f>'Data Sheet'!E63</f>
        <v>19496.830000000002</v>
      </c>
      <c r="F11" s="16">
        <f>'Data Sheet'!F63</f>
        <v>19007.400000000001</v>
      </c>
      <c r="G11" s="16">
        <f>'Data Sheet'!G63</f>
        <v>22045.55</v>
      </c>
      <c r="H11" s="16">
        <f>'Data Sheet'!H63</f>
        <v>31213.02</v>
      </c>
      <c r="I11" s="16">
        <f>'Data Sheet'!I63</f>
        <v>34355.53</v>
      </c>
      <c r="J11" s="16">
        <f>'Data Sheet'!J63</f>
        <v>41622.35</v>
      </c>
      <c r="K11" s="16">
        <f>'Data Sheet'!K63</f>
        <v>28496.71</v>
      </c>
    </row>
    <row r="12" spans="1:11" x14ac:dyDescent="0.3">
      <c r="A12" t="s">
        <v>37</v>
      </c>
      <c r="B12" s="16">
        <f>'Data Sheet'!B64</f>
        <v>12457.12</v>
      </c>
      <c r="C12" s="16">
        <f>'Data Sheet'!C64</f>
        <v>17899.47</v>
      </c>
      <c r="D12" s="16">
        <f>'Data Sheet'!D64</f>
        <v>5738.17</v>
      </c>
      <c r="E12" s="16">
        <f>'Data Sheet'!E64</f>
        <v>6285.18</v>
      </c>
      <c r="F12" s="16">
        <f>'Data Sheet'!F64</f>
        <v>10681.93</v>
      </c>
      <c r="G12" s="16">
        <f>'Data Sheet'!G64</f>
        <v>13139.85</v>
      </c>
      <c r="H12" s="16">
        <f>'Data Sheet'!H64</f>
        <v>8410.31</v>
      </c>
      <c r="I12" s="16">
        <f>'Data Sheet'!I64</f>
        <v>6257.57</v>
      </c>
      <c r="J12" s="16">
        <f>'Data Sheet'!J64</f>
        <v>6194.11</v>
      </c>
      <c r="K12" s="16">
        <f>'Data Sheet'!K64</f>
        <v>7088.85</v>
      </c>
    </row>
    <row r="13" spans="1:11" x14ac:dyDescent="0.3">
      <c r="A13" t="s">
        <v>38</v>
      </c>
      <c r="B13" s="16">
        <f>'Data Sheet'!B65</f>
        <v>52199.57</v>
      </c>
      <c r="C13" s="16">
        <f>'Data Sheet'!C65</f>
        <v>78103.37</v>
      </c>
      <c r="D13" s="16">
        <f>'Data Sheet'!D65</f>
        <v>83952.15</v>
      </c>
      <c r="E13" s="16">
        <f>'Data Sheet'!E65</f>
        <v>88816.45</v>
      </c>
      <c r="F13" s="16">
        <f>'Data Sheet'!F65</f>
        <v>78444.679999999993</v>
      </c>
      <c r="G13" s="16">
        <f>'Data Sheet'!G65</f>
        <v>113948.44</v>
      </c>
      <c r="H13" s="16">
        <f>'Data Sheet'!H65</f>
        <v>99150.99</v>
      </c>
      <c r="I13" s="16">
        <f>'Data Sheet'!I65</f>
        <v>79884.94</v>
      </c>
      <c r="J13" s="16">
        <f>'Data Sheet'!J65</f>
        <v>76728.06</v>
      </c>
      <c r="K13" s="16">
        <f>'Data Sheet'!K65</f>
        <v>81020.929999999993</v>
      </c>
    </row>
    <row r="14" spans="1:11" s="2" customFormat="1" x14ac:dyDescent="0.3">
      <c r="A14" s="2" t="s">
        <v>34</v>
      </c>
      <c r="B14" s="16">
        <f>'Data Sheet'!B66</f>
        <v>172447.37</v>
      </c>
      <c r="C14" s="16">
        <f>'Data Sheet'!C66</f>
        <v>208722.14</v>
      </c>
      <c r="D14" s="16">
        <f>'Data Sheet'!D66</f>
        <v>232773.44</v>
      </c>
      <c r="E14" s="16">
        <f>'Data Sheet'!E66</f>
        <v>249149.12</v>
      </c>
      <c r="F14" s="16">
        <f>'Data Sheet'!F66</f>
        <v>243909.19</v>
      </c>
      <c r="G14" s="16">
        <f>'Data Sheet'!G66</f>
        <v>282421.67</v>
      </c>
      <c r="H14" s="16">
        <f>'Data Sheet'!H66</f>
        <v>285395.78000000003</v>
      </c>
      <c r="I14" s="16">
        <f>'Data Sheet'!I66</f>
        <v>269312.42</v>
      </c>
      <c r="J14" s="16">
        <f>'Data Sheet'!J66</f>
        <v>275458.58</v>
      </c>
      <c r="K14" s="16">
        <f>'Data Sheet'!K66</f>
        <v>296514.62</v>
      </c>
    </row>
    <row r="15" spans="1:11" x14ac:dyDescent="0.3"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3">
      <c r="A16" t="s">
        <v>39</v>
      </c>
      <c r="B16" s="8">
        <f t="shared" ref="B16:K16" si="0">B13-B7</f>
        <v>586.01000000000204</v>
      </c>
      <c r="C16" s="8">
        <f t="shared" si="0"/>
        <v>22398.899999999994</v>
      </c>
      <c r="D16" s="8">
        <f t="shared" si="0"/>
        <v>20920.009999999995</v>
      </c>
      <c r="E16" s="8">
        <f t="shared" si="0"/>
        <v>29571.829999999994</v>
      </c>
      <c r="F16" s="8">
        <f t="shared" si="0"/>
        <v>-2724.3300000000017</v>
      </c>
      <c r="G16" s="8">
        <f t="shared" si="0"/>
        <v>21531.160000000003</v>
      </c>
      <c r="H16" s="8">
        <f t="shared" si="0"/>
        <v>1730.3600000000006</v>
      </c>
      <c r="I16" s="8">
        <f t="shared" si="0"/>
        <v>-10309.599999999991</v>
      </c>
      <c r="J16" s="8">
        <f t="shared" si="0"/>
        <v>-12759.839999999997</v>
      </c>
      <c r="K16" s="8">
        <f t="shared" si="0"/>
        <v>-20944.36</v>
      </c>
    </row>
    <row r="17" spans="1:11" x14ac:dyDescent="0.3">
      <c r="A17" t="s">
        <v>40</v>
      </c>
      <c r="B17" s="8">
        <f>'Data Sheet'!B67</f>
        <v>11586.82</v>
      </c>
      <c r="C17" s="8">
        <f>'Data Sheet'!C67</f>
        <v>12415.52</v>
      </c>
      <c r="D17" s="8">
        <f>'Data Sheet'!D67</f>
        <v>11811</v>
      </c>
      <c r="E17" s="8">
        <f>'Data Sheet'!E67</f>
        <v>7884.91</v>
      </c>
      <c r="F17" s="8">
        <f>'Data Sheet'!F67</f>
        <v>9539.84</v>
      </c>
      <c r="G17" s="8">
        <f>'Data Sheet'!G67</f>
        <v>12246.43</v>
      </c>
      <c r="H17" s="8">
        <f>'Data Sheet'!H67</f>
        <v>8257.24</v>
      </c>
      <c r="I17" s="8">
        <f>'Data Sheet'!I67</f>
        <v>6263.53</v>
      </c>
      <c r="J17" s="8">
        <f>'Data Sheet'!J67</f>
        <v>5260.06</v>
      </c>
      <c r="K17" s="8">
        <f>'Data Sheet'!K67</f>
        <v>4916.8900000000003</v>
      </c>
    </row>
    <row r="18" spans="1:11" x14ac:dyDescent="0.3">
      <c r="A18" t="s">
        <v>41</v>
      </c>
      <c r="B18" s="8">
        <f>'Data Sheet'!B68</f>
        <v>24803.82</v>
      </c>
      <c r="C18" s="8">
        <f>'Data Sheet'!C68</f>
        <v>28331.040000000001</v>
      </c>
      <c r="D18" s="8">
        <f>'Data Sheet'!D68</f>
        <v>31656.1</v>
      </c>
      <c r="E18" s="8">
        <f>'Data Sheet'!E68</f>
        <v>31068.720000000001</v>
      </c>
      <c r="F18" s="8">
        <f>'Data Sheet'!F68</f>
        <v>33276.379999999997</v>
      </c>
      <c r="G18" s="8">
        <f>'Data Sheet'!G68</f>
        <v>48824.39</v>
      </c>
      <c r="H18" s="8">
        <f>'Data Sheet'!H68</f>
        <v>54415.33</v>
      </c>
      <c r="I18" s="8">
        <f>'Data Sheet'!I68</f>
        <v>49157.51</v>
      </c>
      <c r="J18" s="8">
        <f>'Data Sheet'!J68</f>
        <v>44589.94</v>
      </c>
      <c r="K18" s="8">
        <f>'Data Sheet'!K68</f>
        <v>47249.22</v>
      </c>
    </row>
    <row r="20" spans="1:11" x14ac:dyDescent="0.3">
      <c r="A20" t="s">
        <v>42</v>
      </c>
      <c r="B20" s="8">
        <f>IF('Profit &amp; Loss'!B4&gt;0,'Balance Sheet'!B17/('Profit &amp; Loss'!B4/365),0)</f>
        <v>37.659938938242064</v>
      </c>
      <c r="C20" s="8">
        <f>IF('Profit &amp; Loss'!C4&gt;0,'Balance Sheet'!C17/('Profit &amp; Loss'!C4/365),0)</f>
        <v>36.76834884027928</v>
      </c>
      <c r="D20" s="8">
        <f>IF('Profit &amp; Loss'!D4&gt;0,'Balance Sheet'!D17/('Profit &amp; Loss'!D4/365),0)</f>
        <v>27.342186944940792</v>
      </c>
      <c r="E20" s="8">
        <f>IF('Profit &amp; Loss'!E4&gt;0,'Balance Sheet'!E17/('Profit &amp; Loss'!E4/365),0)</f>
        <v>20.584044532607525</v>
      </c>
      <c r="F20" s="8">
        <f>IF('Profit &amp; Loss'!F4&gt;0,'Balance Sheet'!F17/('Profit &amp; Loss'!F4/365),0)</f>
        <v>22.252680578792848</v>
      </c>
      <c r="G20" s="8">
        <f>IF('Profit &amp; Loss'!G4&gt;0,'Balance Sheet'!G17/('Profit &amp; Loss'!G4/365),0)</f>
        <v>18.32252073164538</v>
      </c>
      <c r="H20" s="8">
        <f>IF('Profit &amp; Loss'!H4&gt;0,'Balance Sheet'!H17/('Profit &amp; Loss'!H4/365),0)</f>
        <v>12.384874808657344</v>
      </c>
      <c r="I20" s="8">
        <f>IF('Profit &amp; Loss'!I4&gt;0,'Balance Sheet'!I17/('Profit &amp; Loss'!I4/365),0)</f>
        <v>9.9759159959223425</v>
      </c>
      <c r="J20" s="8">
        <f>IF('Profit &amp; Loss'!J4&gt;0,'Balance Sheet'!J17/('Profit &amp; Loss'!J4/365),0)</f>
        <v>8.7851187395989907</v>
      </c>
      <c r="K20" s="8">
        <f>IF('Profit &amp; Loss'!K4&gt;0,'Balance Sheet'!K17/('Profit &amp; Loss'!K4/365),0)</f>
        <v>7.7309611176775528</v>
      </c>
    </row>
    <row r="21" spans="1:11" x14ac:dyDescent="0.3">
      <c r="A21" t="s">
        <v>43</v>
      </c>
      <c r="B21" s="8">
        <f>IF('Balance Sheet'!B18&gt;0,'Profit &amp; Loss'!B4/'Balance Sheet'!B18,0)</f>
        <v>4.527505037530509</v>
      </c>
      <c r="C21" s="8">
        <f>IF('Balance Sheet'!C18&gt;0,'Profit &amp; Loss'!C4/'Balance Sheet'!C18,0)</f>
        <v>4.3503192964324642</v>
      </c>
      <c r="D21" s="8">
        <f>IF('Balance Sheet'!D18&gt;0,'Profit &amp; Loss'!D4/'Balance Sheet'!D18,0)</f>
        <v>4.980682712020748</v>
      </c>
      <c r="E21" s="8">
        <f>IF('Balance Sheet'!E18&gt;0,'Profit &amp; Loss'!E4/'Balance Sheet'!E18,0)</f>
        <v>4.50023850354955</v>
      </c>
      <c r="F21" s="8">
        <f>IF('Balance Sheet'!F18&gt;0,'Profit &amp; Loss'!F4/'Balance Sheet'!F18,0)</f>
        <v>4.7023564462240186</v>
      </c>
      <c r="G21" s="8">
        <f>IF('Balance Sheet'!G18&gt;0,'Profit &amp; Loss'!G4/'Balance Sheet'!G18,0)</f>
        <v>4.9966660105738141</v>
      </c>
      <c r="H21" s="8">
        <f>IF('Balance Sheet'!H18&gt;0,'Profit &amp; Loss'!H4/'Balance Sheet'!H18,0)</f>
        <v>4.4721347826062985</v>
      </c>
      <c r="I21" s="8">
        <f>IF('Balance Sheet'!I18&gt;0,'Profit &amp; Loss'!I4/'Balance Sheet'!I18,0)</f>
        <v>4.6619688426041108</v>
      </c>
      <c r="J21" s="8">
        <f>IF('Balance Sheet'!J18&gt;0,'Profit &amp; Loss'!J4/'Balance Sheet'!J18,0)</f>
        <v>4.9011617867169139</v>
      </c>
      <c r="K21" s="8">
        <f>IF('Balance Sheet'!K18&gt;0,'Profit &amp; Loss'!K4/'Balance Sheet'!K18,0)</f>
        <v>4.9130957082466127</v>
      </c>
    </row>
    <row r="23" spans="1:11" s="2" customFormat="1" x14ac:dyDescent="0.3">
      <c r="A23" s="2" t="s">
        <v>44</v>
      </c>
      <c r="B23" s="14">
        <f>IF(SUM('Balance Sheet'!B4:B5)&gt;0,'Profit &amp; Loss'!B12/SUM('Balance Sheet'!B4:B5),"")</f>
        <v>-0.11213316368459296</v>
      </c>
      <c r="C23" s="14">
        <f>IF(SUM('Balance Sheet'!C4:C5)&gt;0,'Profit &amp; Loss'!C12/SUM('Balance Sheet'!C4:C5),"")</f>
        <v>0.22070302553185758</v>
      </c>
      <c r="D23" s="14">
        <f>IF(SUM('Balance Sheet'!D4:D5)&gt;0,'Profit &amp; Loss'!D12/SUM('Balance Sheet'!D4:D5),"")</f>
        <v>0.14825271149485789</v>
      </c>
      <c r="E23" s="14">
        <f>IF(SUM('Balance Sheet'!E4:E5)&gt;0,'Profit &amp; Loss'!E12/SUM('Balance Sheet'!E4:E5),"")</f>
        <v>2.1155453590354503E-2</v>
      </c>
      <c r="F23" s="14">
        <f>IF(SUM('Balance Sheet'!F4:F5)&gt;0,'Profit &amp; Loss'!F12/SUM('Balance Sheet'!F4:F5),"")</f>
        <v>0.10089364357733836</v>
      </c>
      <c r="G23" s="14">
        <f>IF(SUM('Balance Sheet'!G4:G5)&gt;0,'Profit &amp; Loss'!G12/SUM('Balance Sheet'!G4:G5),"")</f>
        <v>0.35086388827140558</v>
      </c>
      <c r="H23" s="14">
        <f>IF(SUM('Balance Sheet'!H4:H5)&gt;0,'Profit &amp; Loss'!H12/SUM('Balance Sheet'!H4:H5),"")</f>
        <v>8.4984686963109984E-2</v>
      </c>
      <c r="I23" s="14">
        <f>IF(SUM('Balance Sheet'!I4:I5)&gt;0,'Profit &amp; Loss'!I12/SUM('Balance Sheet'!I4:I5),"")</f>
        <v>-4.8214302788394413E-2</v>
      </c>
      <c r="J23" s="14">
        <f>IF(SUM('Balance Sheet'!J4:J5)&gt;0,'Profit &amp; Loss'!J12/SUM('Balance Sheet'!J4:J5),"")</f>
        <v>3.7518085792385032E-2</v>
      </c>
      <c r="K23" s="14">
        <f>IF(SUM('Balance Sheet'!K4:K5)&gt;0,'Profit &amp; Loss'!K12/SUM('Balance Sheet'!K4:K5),"")</f>
        <v>0.10564860794977667</v>
      </c>
    </row>
    <row r="24" spans="1:11" s="2" customFormat="1" x14ac:dyDescent="0.3">
      <c r="A24" s="2" t="s">
        <v>45</v>
      </c>
      <c r="B24" s="14"/>
      <c r="C24" s="14">
        <f>IF((B4+B5+B6+C4+C5+C6)&gt;0,('Profit &amp; Loss'!C10+'Profit &amp; Loss'!C9)*2/(B4+B5+B6+C4+C5+C6),"")</f>
        <v>0.19419212194872931</v>
      </c>
      <c r="D24" s="14">
        <f>IF((C4+C5+C6+D4+D5+D6)&gt;0,('Profit &amp; Loss'!D10+'Profit &amp; Loss'!D9)*2/(C4+C5+C6+D4+D5+D6),"")</f>
        <v>0.14562383812291879</v>
      </c>
      <c r="E24" s="14">
        <f>IF((D4+D5+D6+E4+E5+E6)&gt;0,('Profit &amp; Loss'!E10+'Profit &amp; Loss'!E9)*2/(D4+D5+D6+E4+E5+E6),"")</f>
        <v>3.4137476372586587E-2</v>
      </c>
      <c r="F24" s="14">
        <f>IF((E4+E5+E6+F4+F5+F6)&gt;0,('Profit &amp; Loss'!F10+'Profit &amp; Loss'!F9)*2/(E4+E5+E6+F4+F5+F6),"")</f>
        <v>0.12165446533887878</v>
      </c>
      <c r="G24" s="14">
        <f>IF((F4+F5+F6+G4+G5+G6)&gt;0,('Profit &amp; Loss'!G10+'Profit &amp; Loss'!G9)*2/(F4+F5+F6+G4+G5+G6),"")</f>
        <v>0.31574728421758558</v>
      </c>
      <c r="H24" s="14">
        <f>IF((G4+G5+G6+H4+H5+H6)&gt;0,('Profit &amp; Loss'!H10+'Profit &amp; Loss'!H9)*2/(G4+G5+G6+H4+H5+H6),"")</f>
        <v>0.12981559795538139</v>
      </c>
      <c r="I24" s="14">
        <f>IF((H4+H5+H6+I4+I5+I6)&gt;0,('Profit &amp; Loss'!I10+'Profit &amp; Loss'!I9)*2/(H4+H5+H6+I4+I5+I6),"")</f>
        <v>3.4653504589831081E-2</v>
      </c>
      <c r="J24" s="14">
        <f>IF((I4+I5+I6+J4+J5+J6)&gt;0,('Profit &amp; Loss'!J10+'Profit &amp; Loss'!J9)*2/(I4+I5+I6+J4+J5+J6),"")</f>
        <v>8.6301362058564632E-2</v>
      </c>
      <c r="K24" s="14">
        <f>IF((J4+J5+J6+K4+K5+K6)&gt;0,('Profit &amp; Loss'!K10+'Profit &amp; Loss'!K9)*2/(J4+J5+J6+K4+K5+K6),"")</f>
        <v>0.12160070110373433</v>
      </c>
    </row>
  </sheetData>
  <hyperlinks>
    <hyperlink ref="J1" r:id="rId1" xr:uid="{00000000-0004-0000-0200-000000000000}"/>
  </hyperlinks>
  <printOptions gridLines="1"/>
  <pageMargins left="0.7" right="0.7" top="0.75" bottom="0.7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8"/>
  <sheetViews>
    <sheetView zoomScale="150" zoomScaleNormal="150" workbookViewId="0">
      <pane xSplit="1" ySplit="3" topLeftCell="E4" activePane="bottomRight" state="frozen"/>
      <selection pane="topRight" activeCell="E1" sqref="E1"/>
      <selection pane="bottomLeft" activeCell="A4" sqref="A4"/>
      <selection pane="bottomRight" activeCell="D26" sqref="D26"/>
    </sheetView>
  </sheetViews>
  <sheetFormatPr defaultColWidth="8.77734375" defaultRowHeight="14.4" x14ac:dyDescent="0.3"/>
  <cols>
    <col min="1" max="1" width="26.77734375" customWidth="1"/>
    <col min="2" max="11" width="13.44140625" customWidth="1"/>
  </cols>
  <sheetData>
    <row r="1" spans="1:11" s="2" customFormat="1" x14ac:dyDescent="0.3">
      <c r="A1" s="2" t="str">
        <f>'Balance Sheet'!A1</f>
        <v>TATA STEEL LTD</v>
      </c>
      <c r="J1" s="2" t="s">
        <v>0</v>
      </c>
    </row>
    <row r="3" spans="1:11" s="2" customFormat="1" x14ac:dyDescent="0.3">
      <c r="A3" s="4" t="s">
        <v>1</v>
      </c>
      <c r="B3" s="5">
        <f>'Data Sheet'!B81</f>
        <v>42825</v>
      </c>
      <c r="C3" s="5">
        <f>'Data Sheet'!C81</f>
        <v>43190</v>
      </c>
      <c r="D3" s="5">
        <f>'Data Sheet'!D81</f>
        <v>43555</v>
      </c>
      <c r="E3" s="5">
        <f>'Data Sheet'!E81</f>
        <v>43921</v>
      </c>
      <c r="F3" s="5">
        <f>'Data Sheet'!F81</f>
        <v>44286</v>
      </c>
      <c r="G3" s="5">
        <f>'Data Sheet'!G81</f>
        <v>44651</v>
      </c>
      <c r="H3" s="5">
        <f>'Data Sheet'!H81</f>
        <v>45016</v>
      </c>
      <c r="I3" s="5">
        <f>'Data Sheet'!I81</f>
        <v>45382</v>
      </c>
      <c r="J3" s="5">
        <f>'Data Sheet'!J81</f>
        <v>45747</v>
      </c>
      <c r="K3" s="5">
        <f>'Data Sheet'!K81</f>
        <v>46112</v>
      </c>
    </row>
    <row r="4" spans="1:11" s="2" customFormat="1" x14ac:dyDescent="0.3">
      <c r="A4" s="2" t="s">
        <v>46</v>
      </c>
      <c r="B4" s="7">
        <f>'Data Sheet'!B82</f>
        <v>10824.36</v>
      </c>
      <c r="C4" s="7">
        <f>'Data Sheet'!C82</f>
        <v>8023.39</v>
      </c>
      <c r="D4" s="7">
        <f>'Data Sheet'!D82</f>
        <v>25335.95</v>
      </c>
      <c r="E4" s="7">
        <f>'Data Sheet'!E82</f>
        <v>20168.72</v>
      </c>
      <c r="F4" s="7">
        <f>'Data Sheet'!F82</f>
        <v>44326.68</v>
      </c>
      <c r="G4" s="7">
        <f>'Data Sheet'!G82</f>
        <v>44380.99</v>
      </c>
      <c r="H4" s="7">
        <f>'Data Sheet'!H82</f>
        <v>21683.08</v>
      </c>
      <c r="I4" s="7">
        <f>'Data Sheet'!I82</f>
        <v>20300.669999999998</v>
      </c>
      <c r="J4" s="7">
        <f>'Data Sheet'!J82</f>
        <v>23137.58</v>
      </c>
      <c r="K4" s="7">
        <f>'Data Sheet'!K82</f>
        <v>35064.46</v>
      </c>
    </row>
    <row r="5" spans="1:11" x14ac:dyDescent="0.3">
      <c r="A5" t="s">
        <v>47</v>
      </c>
      <c r="B5" s="8">
        <f>'Data Sheet'!B83</f>
        <v>-9489.65</v>
      </c>
      <c r="C5" s="8">
        <f>'Data Sheet'!C83</f>
        <v>-11730.31</v>
      </c>
      <c r="D5" s="8">
        <f>'Data Sheet'!D83</f>
        <v>-29176.45</v>
      </c>
      <c r="E5" s="8">
        <f>'Data Sheet'!E83</f>
        <v>-14012.06</v>
      </c>
      <c r="F5" s="8">
        <f>'Data Sheet'!F83</f>
        <v>-9437.27</v>
      </c>
      <c r="G5" s="8">
        <f>'Data Sheet'!G83</f>
        <v>-10905.02</v>
      </c>
      <c r="H5" s="8">
        <f>'Data Sheet'!H83</f>
        <v>-18179.45</v>
      </c>
      <c r="I5" s="8">
        <f>'Data Sheet'!I83</f>
        <v>-14252.74</v>
      </c>
      <c r="J5" s="8">
        <f>'Data Sheet'!J83</f>
        <v>-13611.02</v>
      </c>
      <c r="K5" s="8">
        <f>'Data Sheet'!K83</f>
        <v>-14397.35</v>
      </c>
    </row>
    <row r="6" spans="1:11" x14ac:dyDescent="0.3">
      <c r="A6" t="s">
        <v>48</v>
      </c>
      <c r="B6" s="8">
        <f>'Data Sheet'!B84</f>
        <v>-2579.36</v>
      </c>
      <c r="C6" s="8">
        <f>'Data Sheet'!C84</f>
        <v>6639.94</v>
      </c>
      <c r="D6" s="8">
        <f>'Data Sheet'!D84</f>
        <v>-672.7</v>
      </c>
      <c r="E6" s="8">
        <f>'Data Sheet'!E84</f>
        <v>-1694.62</v>
      </c>
      <c r="F6" s="8">
        <f>'Data Sheet'!F84</f>
        <v>-37089.67</v>
      </c>
      <c r="G6" s="8">
        <f>'Data Sheet'!G84</f>
        <v>-23401.09</v>
      </c>
      <c r="H6" s="8">
        <f>'Data Sheet'!H84</f>
        <v>-6980.69</v>
      </c>
      <c r="I6" s="8">
        <f>'Data Sheet'!I84</f>
        <v>-11096.99</v>
      </c>
      <c r="J6" s="8">
        <f>'Data Sheet'!J84</f>
        <v>-7002.44</v>
      </c>
      <c r="K6" s="8">
        <f>'Data Sheet'!K84</f>
        <v>-21387.119999999999</v>
      </c>
    </row>
    <row r="7" spans="1:11" s="2" customFormat="1" x14ac:dyDescent="0.3">
      <c r="A7" s="2" t="s">
        <v>49</v>
      </c>
      <c r="B7" s="7">
        <f>'Data Sheet'!B85</f>
        <v>-1244.6500000000001</v>
      </c>
      <c r="C7" s="7">
        <f>'Data Sheet'!C85</f>
        <v>2933.02</v>
      </c>
      <c r="D7" s="7">
        <f>'Data Sheet'!D85</f>
        <v>-4513.2</v>
      </c>
      <c r="E7" s="7">
        <f>'Data Sheet'!E85</f>
        <v>4462.04</v>
      </c>
      <c r="F7" s="7">
        <f>'Data Sheet'!F85</f>
        <v>-2200.2600000000002</v>
      </c>
      <c r="G7" s="7">
        <f>'Data Sheet'!G85</f>
        <v>10074.879999999999</v>
      </c>
      <c r="H7" s="7">
        <f>'Data Sheet'!H85</f>
        <v>-3477.06</v>
      </c>
      <c r="I7" s="7">
        <f>'Data Sheet'!I85</f>
        <v>-5049.0600000000004</v>
      </c>
      <c r="J7" s="7">
        <f>'Data Sheet'!J85</f>
        <v>2524.12</v>
      </c>
      <c r="K7" s="7">
        <f>'Data Sheet'!K85</f>
        <v>-720.01</v>
      </c>
    </row>
    <row r="8" spans="1:11" x14ac:dyDescent="0.3">
      <c r="B8" s="8"/>
      <c r="C8" s="8"/>
      <c r="D8" s="8"/>
      <c r="E8" s="8"/>
      <c r="F8" s="8"/>
      <c r="G8" s="8"/>
      <c r="H8" s="8"/>
      <c r="I8" s="8"/>
      <c r="J8" s="8"/>
      <c r="K8" s="8"/>
    </row>
  </sheetData>
  <hyperlinks>
    <hyperlink ref="J1" r:id="rId1" xr:uid="{00000000-0004-0000-0300-000000000000}"/>
  </hyperlinks>
  <printOptions gridLines="1"/>
  <pageMargins left="0.7" right="0.7" top="0.75" bottom="0.75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zoomScale="150" zoomScaleNormal="150" workbookViewId="0">
      <selection activeCell="D26" sqref="D2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18" customWidth="1"/>
    <col min="6" max="6" width="6.77734375" customWidth="1"/>
  </cols>
  <sheetData>
    <row r="1" spans="1:7" ht="21" customHeight="1" x14ac:dyDescent="0.4">
      <c r="A1" s="19" t="s">
        <v>50</v>
      </c>
    </row>
    <row r="3" spans="1:7" x14ac:dyDescent="0.3">
      <c r="A3" s="2" t="s">
        <v>51</v>
      </c>
    </row>
    <row r="4" spans="1:7" x14ac:dyDescent="0.3">
      <c r="B4" t="s">
        <v>52</v>
      </c>
    </row>
    <row r="5" spans="1:7" x14ac:dyDescent="0.3">
      <c r="B5" t="s">
        <v>53</v>
      </c>
    </row>
    <row r="7" spans="1:7" x14ac:dyDescent="0.3">
      <c r="A7" s="2" t="s">
        <v>54</v>
      </c>
    </row>
    <row r="8" spans="1:7" x14ac:dyDescent="0.3">
      <c r="B8" t="s">
        <v>55</v>
      </c>
      <c r="C8" s="20" t="s">
        <v>56</v>
      </c>
    </row>
    <row r="10" spans="1:7" x14ac:dyDescent="0.3">
      <c r="A10" s="2" t="s">
        <v>57</v>
      </c>
    </row>
    <row r="11" spans="1:7" x14ac:dyDescent="0.3">
      <c r="B11" t="s">
        <v>58</v>
      </c>
    </row>
    <row r="14" spans="1:7" x14ac:dyDescent="0.3">
      <c r="A14" s="2" t="s">
        <v>59</v>
      </c>
    </row>
    <row r="15" spans="1:7" x14ac:dyDescent="0.3">
      <c r="B15" t="s">
        <v>60</v>
      </c>
    </row>
    <row r="16" spans="1:7" x14ac:dyDescent="0.3">
      <c r="B16" t="s">
        <v>61</v>
      </c>
      <c r="G16" s="21"/>
    </row>
  </sheetData>
  <hyperlinks>
    <hyperlink ref="C8" r:id="rId1" xr:uid="{00000000-0004-0000-04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"/>
  <sheetViews>
    <sheetView topLeftCell="A13" zoomScaleNormal="100" workbookViewId="0">
      <selection activeCell="E25" sqref="E25"/>
    </sheetView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04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23" sqref="N23"/>
    </sheetView>
  </sheetViews>
  <sheetFormatPr defaultColWidth="8.6640625" defaultRowHeight="14.4" outlineLevelRow="1" x14ac:dyDescent="0.3"/>
  <cols>
    <col min="1" max="1" width="1.88671875" customWidth="1"/>
    <col min="2" max="2" width="29.44140625" customWidth="1"/>
    <col min="3" max="3" width="12.5546875" customWidth="1"/>
    <col min="4" max="6" width="12.33203125" customWidth="1"/>
    <col min="7" max="9" width="12.109375" customWidth="1"/>
    <col min="14" max="14" width="11.5546875" customWidth="1"/>
  </cols>
  <sheetData>
    <row r="2" spans="1:9" x14ac:dyDescent="0.3">
      <c r="B2" t="s">
        <v>62</v>
      </c>
    </row>
    <row r="3" spans="1:9" x14ac:dyDescent="0.3">
      <c r="B3" s="22" t="s">
        <v>63</v>
      </c>
      <c r="C3" s="22"/>
      <c r="D3" s="23">
        <v>2024</v>
      </c>
      <c r="E3" s="23">
        <v>2025</v>
      </c>
      <c r="F3" s="23">
        <v>2026</v>
      </c>
      <c r="G3" s="24">
        <v>2027</v>
      </c>
      <c r="H3" s="24">
        <v>2028</v>
      </c>
      <c r="I3" s="24">
        <v>2029</v>
      </c>
    </row>
    <row r="5" spans="1:9" x14ac:dyDescent="0.3">
      <c r="A5" t="s">
        <v>64</v>
      </c>
      <c r="B5" s="25" t="str">
        <f>"Income Statement"&amp;"-"&amp;$B$2</f>
        <v>Income Statement-TATA STEEL LTD.</v>
      </c>
      <c r="C5" s="26"/>
      <c r="D5" s="26"/>
      <c r="E5" s="26"/>
      <c r="F5" s="26"/>
      <c r="G5" s="26"/>
      <c r="H5" s="26"/>
      <c r="I5" s="26"/>
    </row>
    <row r="6" spans="1:9" outlineLevel="1" x14ac:dyDescent="0.3">
      <c r="B6" t="s">
        <v>65</v>
      </c>
      <c r="D6" s="27">
        <f>IFERROR('Data Sheet'!I17,0)</f>
        <v>229170.78</v>
      </c>
      <c r="E6" s="27">
        <f>IFERROR('Data Sheet'!J17,0)</f>
        <v>218542.51</v>
      </c>
      <c r="F6" s="27">
        <f>IFERROR('Data Sheet'!K17,0)</f>
        <v>232139.94</v>
      </c>
      <c r="G6" s="28">
        <f>F6*(1+G24)</f>
        <v>244907.63669999997</v>
      </c>
      <c r="H6" s="28">
        <f>G6*(1+H24)</f>
        <v>258377.55671849995</v>
      </c>
      <c r="I6" s="28">
        <f>H6*(1+I24)</f>
        <v>272588.32233801746</v>
      </c>
    </row>
    <row r="7" spans="1:9" outlineLevel="1" x14ac:dyDescent="0.3">
      <c r="B7" t="s">
        <v>66</v>
      </c>
      <c r="D7" s="27">
        <f>IFERROR(SUM('Data Sheet'!I18,'Data Sheet'!I19,'Data Sheet'!I20,'Data Sheet'!I21),0)</f>
        <v>149826.56</v>
      </c>
      <c r="E7" s="27">
        <f>IFERROR(SUM('Data Sheet'!J18,'Data Sheet'!J19,'Data Sheet'!J20,'Data Sheet'!J21),0)</f>
        <v>147019.29999999999</v>
      </c>
      <c r="F7" s="27">
        <f>IFERROR(SUM('Data Sheet'!K18,'Data Sheet'!K19,'Data Sheet'!K20,'Data Sheet'!K21),0)</f>
        <v>143457.56</v>
      </c>
      <c r="G7" s="28">
        <f>G6*G25</f>
        <v>157123.5980007941</v>
      </c>
      <c r="H7" s="28">
        <f>H6*H25</f>
        <v>165547.73009241628</v>
      </c>
      <c r="I7" s="28">
        <f>I6*I25</f>
        <v>173481.93592490873</v>
      </c>
    </row>
    <row r="8" spans="1:9" outlineLevel="1" x14ac:dyDescent="0.3">
      <c r="B8" s="29" t="s">
        <v>67</v>
      </c>
      <c r="C8" s="30"/>
      <c r="D8" s="31">
        <f t="shared" ref="D8:I8" si="0">D6-D7</f>
        <v>79344.22</v>
      </c>
      <c r="E8" s="31">
        <f t="shared" si="0"/>
        <v>71523.210000000021</v>
      </c>
      <c r="F8" s="31">
        <f t="shared" si="0"/>
        <v>88682.38</v>
      </c>
      <c r="G8" s="31">
        <f t="shared" si="0"/>
        <v>87784.038699205877</v>
      </c>
      <c r="H8" s="31">
        <f t="shared" si="0"/>
        <v>92829.826626083668</v>
      </c>
      <c r="I8" s="31">
        <f t="shared" si="0"/>
        <v>99106.386413108732</v>
      </c>
    </row>
    <row r="9" spans="1:9" outlineLevel="1" x14ac:dyDescent="0.3">
      <c r="B9" s="8" t="s">
        <v>68</v>
      </c>
      <c r="D9" s="27">
        <f>IFERROR('Data Sheet'!I23,0)</f>
        <v>14453.57</v>
      </c>
      <c r="E9" s="27">
        <f>IFERROR('Data Sheet'!J23,0)</f>
        <v>12137.26</v>
      </c>
      <c r="F9" s="27">
        <f>IFERROR('Data Sheet'!K23,0)</f>
        <v>13348.99</v>
      </c>
      <c r="G9" s="28">
        <f>G6*G28</f>
        <v>14211.260112900762</v>
      </c>
      <c r="H9" s="28">
        <f>H6*H28</f>
        <v>14823.685741713425</v>
      </c>
      <c r="I9" s="28">
        <f>I6*I28</f>
        <v>15699.727839394493</v>
      </c>
    </row>
    <row r="10" spans="1:9" outlineLevel="1" x14ac:dyDescent="0.3">
      <c r="B10" t="s">
        <v>69</v>
      </c>
      <c r="D10" s="27">
        <f>IFERROR('Data Sheet'!I24,0)</f>
        <v>9314.4500000000007</v>
      </c>
      <c r="E10" s="27">
        <f>IFERROR('Data Sheet'!J24,0)</f>
        <v>9391.81</v>
      </c>
      <c r="F10" s="27">
        <f>IFERROR('Data Sheet'!K24,0)</f>
        <v>13002.73</v>
      </c>
      <c r="G10" s="28">
        <f>G6*G29</f>
        <v>12007.205714760785</v>
      </c>
      <c r="H10" s="28">
        <f>H6*H29</f>
        <v>12896.252326588237</v>
      </c>
      <c r="I10" s="28">
        <f>I6*I29</f>
        <v>13865.737855267531</v>
      </c>
    </row>
    <row r="11" spans="1:9" outlineLevel="1" x14ac:dyDescent="0.3">
      <c r="B11" t="s">
        <v>70</v>
      </c>
      <c r="D11" s="27">
        <f>IFERROR('Data Sheet'!I22,0)</f>
        <v>24509.58</v>
      </c>
      <c r="E11" s="27">
        <f>IFERROR('Data Sheet'!J22,0)</f>
        <v>24888.99</v>
      </c>
      <c r="F11" s="27">
        <f>IFERROR('Data Sheet'!K22,0)</f>
        <v>25998.98</v>
      </c>
      <c r="G11" s="28">
        <f>G6*G27</f>
        <v>27320.470822789663</v>
      </c>
      <c r="H11" s="28">
        <f>H6*H27</f>
        <v>28977.933703176623</v>
      </c>
      <c r="I11" s="28">
        <f>I6*I27</f>
        <v>30514.185744445804</v>
      </c>
    </row>
    <row r="12" spans="1:9" outlineLevel="1" x14ac:dyDescent="0.3">
      <c r="B12" s="29" t="s">
        <v>71</v>
      </c>
      <c r="C12" s="29"/>
      <c r="D12" s="31">
        <f t="shared" ref="D12:I12" si="1">IFERROR(D8-SUM(D9,D10,D11),0)</f>
        <v>31066.619999999995</v>
      </c>
      <c r="E12" s="31">
        <f t="shared" si="1"/>
        <v>25105.150000000023</v>
      </c>
      <c r="F12" s="31">
        <f t="shared" si="1"/>
        <v>36331.680000000008</v>
      </c>
      <c r="G12" s="31">
        <f t="shared" si="1"/>
        <v>34245.10204875467</v>
      </c>
      <c r="H12" s="31">
        <f t="shared" si="1"/>
        <v>36131.954854605385</v>
      </c>
      <c r="I12" s="31">
        <f t="shared" si="1"/>
        <v>39026.734974000909</v>
      </c>
    </row>
    <row r="13" spans="1:9" outlineLevel="1" x14ac:dyDescent="0.3">
      <c r="B13" t="s">
        <v>9</v>
      </c>
      <c r="D13" s="27">
        <f>IFERROR('Data Sheet'!I26,0)</f>
        <v>9882.16</v>
      </c>
      <c r="E13" s="27">
        <f>IFERROR('Data Sheet'!J26,0)</f>
        <v>10421.33</v>
      </c>
      <c r="F13" s="27">
        <f>IFERROR('Data Sheet'!K26,0)</f>
        <v>11954.51</v>
      </c>
      <c r="G13" s="28">
        <f>G6*G30</f>
        <v>11921.725056437834</v>
      </c>
      <c r="H13" s="28">
        <f>H6*H30</f>
        <v>12744.588109795683</v>
      </c>
      <c r="I13" s="28">
        <f>I6*I30</f>
        <v>13511.019689169987</v>
      </c>
    </row>
    <row r="14" spans="1:9" outlineLevel="1" x14ac:dyDescent="0.3">
      <c r="B14" s="29" t="s">
        <v>72</v>
      </c>
      <c r="C14" s="29"/>
      <c r="D14" s="31">
        <f t="shared" ref="D14:I14" si="2">D12-D13</f>
        <v>21184.459999999995</v>
      </c>
      <c r="E14" s="31">
        <f t="shared" si="2"/>
        <v>14683.820000000023</v>
      </c>
      <c r="F14" s="31">
        <f t="shared" si="2"/>
        <v>24377.170000000006</v>
      </c>
      <c r="G14" s="31">
        <f t="shared" si="2"/>
        <v>22323.376992316837</v>
      </c>
      <c r="H14" s="31">
        <f t="shared" si="2"/>
        <v>23387.366744809704</v>
      </c>
      <c r="I14" s="31">
        <f t="shared" si="2"/>
        <v>25515.71528483092</v>
      </c>
    </row>
    <row r="15" spans="1:9" outlineLevel="1" x14ac:dyDescent="0.3">
      <c r="B15" t="s">
        <v>73</v>
      </c>
      <c r="D15" s="27">
        <f>IFERROR('Data Sheet'!I25,0)</f>
        <v>-6005.23</v>
      </c>
      <c r="E15" s="27">
        <f>IFERROR('Data Sheet'!J25,0)</f>
        <v>876.7</v>
      </c>
      <c r="F15" s="27">
        <f>IFERROR('Data Sheet'!K25,0)</f>
        <v>737.82</v>
      </c>
      <c r="G15" s="28">
        <f>G6*G32</f>
        <v>734.72291009999992</v>
      </c>
      <c r="H15" s="28">
        <f>H6*H32</f>
        <v>775.13267015549991</v>
      </c>
      <c r="I15" s="28">
        <f>I6*I32</f>
        <v>817.76496701405244</v>
      </c>
    </row>
    <row r="16" spans="1:9" outlineLevel="1" x14ac:dyDescent="0.3">
      <c r="B16" t="s">
        <v>74</v>
      </c>
      <c r="D16" s="27">
        <f>IFERROR('Data Sheet'!I27,0)</f>
        <v>7507.57</v>
      </c>
      <c r="E16" s="27">
        <f>IFERROR('Data Sheet'!J27,0)</f>
        <v>7340.95</v>
      </c>
      <c r="F16" s="27">
        <f>IFERROR('Data Sheet'!K27,0)</f>
        <v>7167.06</v>
      </c>
      <c r="G16" s="28">
        <f>G6*G31</f>
        <v>7853.2154033483184</v>
      </c>
      <c r="H16" s="28">
        <f>H6*H31</f>
        <v>8271.5119600249109</v>
      </c>
      <c r="I16" s="28">
        <f>I6*I31</f>
        <v>8668.641759028169</v>
      </c>
    </row>
    <row r="17" spans="1:9" outlineLevel="1" x14ac:dyDescent="0.3">
      <c r="B17" t="s">
        <v>75</v>
      </c>
      <c r="D17" s="27">
        <v>8818.7000000000007</v>
      </c>
      <c r="E17" s="27">
        <v>193.3</v>
      </c>
      <c r="F17" s="27">
        <v>1979.24</v>
      </c>
      <c r="G17" s="27">
        <v>0</v>
      </c>
      <c r="H17" s="27">
        <v>0</v>
      </c>
      <c r="I17" s="27">
        <v>0</v>
      </c>
    </row>
    <row r="18" spans="1:9" outlineLevel="1" x14ac:dyDescent="0.3">
      <c r="B18" s="29" t="s">
        <v>76</v>
      </c>
      <c r="C18" s="29"/>
      <c r="D18" s="31">
        <f t="shared" ref="D18:I18" si="3">IFERROR(D14+D15-D16-D17,0)</f>
        <v>-1147.0400000000045</v>
      </c>
      <c r="E18" s="31">
        <f t="shared" si="3"/>
        <v>8026.270000000025</v>
      </c>
      <c r="F18" s="31">
        <f t="shared" si="3"/>
        <v>15968.690000000004</v>
      </c>
      <c r="G18" s="31">
        <f t="shared" si="3"/>
        <v>15204.884499068519</v>
      </c>
      <c r="H18" s="31">
        <f t="shared" si="3"/>
        <v>15890.987454940294</v>
      </c>
      <c r="I18" s="31">
        <f t="shared" si="3"/>
        <v>17664.838492816802</v>
      </c>
    </row>
    <row r="19" spans="1:9" outlineLevel="1" x14ac:dyDescent="0.3">
      <c r="B19" t="s">
        <v>77</v>
      </c>
      <c r="D19" s="27">
        <f>IFERROR('Data Sheet'!I29,0)</f>
        <v>3762.57</v>
      </c>
      <c r="E19" s="27">
        <f>IFERROR('Data Sheet'!J29,0)</f>
        <v>5239.09</v>
      </c>
      <c r="F19" s="27">
        <f>IFERROR('Data Sheet'!K29,0)</f>
        <v>5082.87</v>
      </c>
      <c r="G19" s="28">
        <f>G18*G33</f>
        <v>4257.3676597391859</v>
      </c>
      <c r="H19" s="28">
        <f>H18*H33</f>
        <v>4449.4764873832828</v>
      </c>
      <c r="I19" s="28">
        <f>I18*I33</f>
        <v>4946.1547779887051</v>
      </c>
    </row>
    <row r="20" spans="1:9" ht="15" customHeight="1" outlineLevel="1" x14ac:dyDescent="0.3">
      <c r="B20" s="32" t="s">
        <v>78</v>
      </c>
      <c r="C20" s="32"/>
      <c r="D20" s="33">
        <f t="shared" ref="D20:I20" si="4">IFERROR(D18-D19,0)</f>
        <v>-4909.6100000000042</v>
      </c>
      <c r="E20" s="33">
        <f t="shared" si="4"/>
        <v>2787.1800000000248</v>
      </c>
      <c r="F20" s="33">
        <f t="shared" si="4"/>
        <v>10885.820000000003</v>
      </c>
      <c r="G20" s="33">
        <f t="shared" si="4"/>
        <v>10947.516839329333</v>
      </c>
      <c r="H20" s="33">
        <f t="shared" si="4"/>
        <v>11441.510967557011</v>
      </c>
      <c r="I20" s="33">
        <f t="shared" si="4"/>
        <v>12718.683714828097</v>
      </c>
    </row>
    <row r="21" spans="1:9" ht="15" customHeight="1" x14ac:dyDescent="0.3"/>
    <row r="22" spans="1:9" x14ac:dyDescent="0.3">
      <c r="A22" t="s">
        <v>64</v>
      </c>
      <c r="B22" s="25" t="str">
        <f>"Assumptions"&amp;"-"&amp;$B$2</f>
        <v>Assumptions-TATA STEEL LTD.</v>
      </c>
      <c r="C22" s="26"/>
      <c r="D22" s="26"/>
      <c r="E22" s="26"/>
      <c r="F22" s="26"/>
      <c r="G22" s="26"/>
      <c r="H22" s="26"/>
      <c r="I22" s="26"/>
    </row>
    <row r="23" spans="1:9" outlineLevel="1" x14ac:dyDescent="0.3"/>
    <row r="24" spans="1:9" outlineLevel="1" x14ac:dyDescent="0.3">
      <c r="B24" s="34" t="s">
        <v>79</v>
      </c>
      <c r="D24" s="35" t="s">
        <v>80</v>
      </c>
      <c r="E24" s="36">
        <f>IFERROR(E6/D6-1,0)</f>
        <v>-4.6377073028245563E-2</v>
      </c>
      <c r="F24" s="36">
        <f>IFERROR(F6/E6-1,0)</f>
        <v>6.2218696033096599E-2</v>
      </c>
      <c r="G24" s="37">
        <v>5.5E-2</v>
      </c>
      <c r="H24" s="38">
        <f>G24</f>
        <v>5.5E-2</v>
      </c>
      <c r="I24" s="38">
        <f>H24</f>
        <v>5.5E-2</v>
      </c>
    </row>
    <row r="25" spans="1:9" outlineLevel="1" x14ac:dyDescent="0.3">
      <c r="B25" s="34" t="s">
        <v>81</v>
      </c>
      <c r="D25" s="36">
        <f>IFERROR(D7/D6,0)</f>
        <v>0.65377689075369905</v>
      </c>
      <c r="E25" s="36">
        <f>IFERROR(E7/E6,0)</f>
        <v>0.67272632679106681</v>
      </c>
      <c r="F25" s="36">
        <f>IFERROR(F7/F6,0)</f>
        <v>0.61797879330889804</v>
      </c>
      <c r="G25" s="36">
        <f>(D25*0.2)+(E25*0.3)+(F25*0.5)</f>
        <v>0.6415626728425089</v>
      </c>
      <c r="H25" s="36">
        <f>(E25*0.2)+(F25*0.3)+(G25*0.5)</f>
        <v>0.64072023977213721</v>
      </c>
      <c r="I25" s="36">
        <f>(F25*0.2)+(G25*0.3)+(H25*0.5)</f>
        <v>0.63642468040060085</v>
      </c>
    </row>
    <row r="26" spans="1:9" outlineLevel="1" x14ac:dyDescent="0.3">
      <c r="B26" s="34" t="s">
        <v>82</v>
      </c>
      <c r="D26" s="36">
        <f t="shared" ref="D26:I26" si="5">IFERROR(D8/D6,0)</f>
        <v>0.34622310924630095</v>
      </c>
      <c r="E26" s="36">
        <f t="shared" si="5"/>
        <v>0.32727367320893319</v>
      </c>
      <c r="F26" s="36">
        <f t="shared" si="5"/>
        <v>0.38202120669110196</v>
      </c>
      <c r="G26" s="36">
        <f t="shared" si="5"/>
        <v>0.35843732715749116</v>
      </c>
      <c r="H26" s="36">
        <f t="shared" si="5"/>
        <v>0.35927976022786273</v>
      </c>
      <c r="I26" s="36">
        <f t="shared" si="5"/>
        <v>0.36357531959939915</v>
      </c>
    </row>
    <row r="27" spans="1:9" outlineLevel="1" x14ac:dyDescent="0.3">
      <c r="B27" s="34" t="s">
        <v>83</v>
      </c>
      <c r="D27" s="36">
        <f>IFERROR(D11/D6,0)</f>
        <v>0.10694897490858128</v>
      </c>
      <c r="E27" s="36">
        <f>IFERROR(E11/E6,0)</f>
        <v>0.11388626404995532</v>
      </c>
      <c r="F27" s="36">
        <f>IFERROR(F11/F6,0)</f>
        <v>0.11199701352554842</v>
      </c>
      <c r="G27" s="36">
        <f t="shared" ref="G27:I31" si="6">(D27*0.2)+(E27*0.3)+(F27*0.5)</f>
        <v>0.11155418095947706</v>
      </c>
      <c r="H27" s="36">
        <f t="shared" si="6"/>
        <v>0.11215344734739412</v>
      </c>
      <c r="I27" s="36">
        <f t="shared" si="6"/>
        <v>0.11194238066664985</v>
      </c>
    </row>
    <row r="28" spans="1:9" outlineLevel="1" x14ac:dyDescent="0.3">
      <c r="B28" s="34" t="s">
        <v>84</v>
      </c>
      <c r="D28" s="36">
        <f>IFERROR(D9/D6,0)</f>
        <v>6.3068991605299773E-2</v>
      </c>
      <c r="E28" s="36">
        <f>IFERROR(E9/E6,0)</f>
        <v>5.5537295695926615E-2</v>
      </c>
      <c r="F28" s="36">
        <f>IFERROR(F9/F6,0)</f>
        <v>5.7504064143378344E-2</v>
      </c>
      <c r="G28" s="36">
        <f t="shared" si="6"/>
        <v>5.8027019101527112E-2</v>
      </c>
      <c r="H28" s="36">
        <f t="shared" si="6"/>
        <v>5.7372187932962379E-2</v>
      </c>
      <c r="I28" s="36">
        <f t="shared" si="6"/>
        <v>5.759501252561499E-2</v>
      </c>
    </row>
    <row r="29" spans="1:9" outlineLevel="1" x14ac:dyDescent="0.3">
      <c r="B29" s="34" t="s">
        <v>85</v>
      </c>
      <c r="D29" s="36">
        <f>IFERROR(D10/D6,0)</f>
        <v>4.0644143201851481E-2</v>
      </c>
      <c r="E29" s="36">
        <f>IFERROR(E10/E6,0)</f>
        <v>4.2974751228033389E-2</v>
      </c>
      <c r="F29" s="36">
        <f>IFERROR(F10/F6,0)</f>
        <v>5.6012463861238183E-2</v>
      </c>
      <c r="G29" s="36">
        <f t="shared" si="6"/>
        <v>4.9027485939399401E-2</v>
      </c>
      <c r="H29" s="36">
        <f t="shared" si="6"/>
        <v>4.9912432373677831E-2</v>
      </c>
      <c r="I29" s="36">
        <f t="shared" si="6"/>
        <v>5.086695474090637E-2</v>
      </c>
    </row>
    <row r="30" spans="1:9" outlineLevel="1" x14ac:dyDescent="0.3">
      <c r="B30" s="34" t="s">
        <v>86</v>
      </c>
      <c r="D30" s="36">
        <f>IFERROR(D13/D6,0)</f>
        <v>4.3121378737725639E-2</v>
      </c>
      <c r="E30" s="36">
        <f>IFERROR(E13/E6,0)</f>
        <v>4.768559672898421E-2</v>
      </c>
      <c r="F30" s="36">
        <f>IFERROR(F13/F6,0)</f>
        <v>5.1496997888428854E-2</v>
      </c>
      <c r="G30" s="36">
        <f t="shared" si="6"/>
        <v>4.8678453710454817E-2</v>
      </c>
      <c r="H30" s="36">
        <f t="shared" si="6"/>
        <v>4.9325445567552903E-2</v>
      </c>
      <c r="I30" s="36">
        <f t="shared" si="6"/>
        <v>4.9565658474598664E-2</v>
      </c>
    </row>
    <row r="31" spans="1:9" outlineLevel="1" x14ac:dyDescent="0.3">
      <c r="B31" s="34" t="s">
        <v>87</v>
      </c>
      <c r="D31" s="36">
        <f>IFERROR(D16/D6,0)</f>
        <v>3.2759717447398834E-2</v>
      </c>
      <c r="E31" s="36">
        <f>IFERROR(E16/E6,0)</f>
        <v>3.3590490014963219E-2</v>
      </c>
      <c r="F31" s="36">
        <f>IFERROR(F16/F6,0)</f>
        <v>3.0873877196659912E-2</v>
      </c>
      <c r="G31" s="36">
        <f t="shared" si="6"/>
        <v>3.2066029092298692E-2</v>
      </c>
      <c r="H31" s="36">
        <f t="shared" si="6"/>
        <v>3.2013275708139964E-2</v>
      </c>
      <c r="I31" s="36">
        <f t="shared" si="6"/>
        <v>3.1801222021091577E-2</v>
      </c>
    </row>
    <row r="32" spans="1:9" outlineLevel="1" x14ac:dyDescent="0.3">
      <c r="B32" s="34" t="s">
        <v>88</v>
      </c>
      <c r="D32" s="36">
        <f>IFERROR(D15/D6,0)</f>
        <v>-2.6204169658976591E-2</v>
      </c>
      <c r="E32" s="36">
        <f>IFERROR(E15/E6,0)</f>
        <v>4.0115765120479303E-3</v>
      </c>
      <c r="F32" s="36">
        <f>IFERROR(F15/F6,0)</f>
        <v>3.1783414779895268E-3</v>
      </c>
      <c r="G32" s="39">
        <v>3.0000000000000001E-3</v>
      </c>
      <c r="H32" s="36">
        <f>G32</f>
        <v>3.0000000000000001E-3</v>
      </c>
      <c r="I32" s="36">
        <f>H32</f>
        <v>3.0000000000000001E-3</v>
      </c>
    </row>
    <row r="33" spans="1:9" outlineLevel="1" x14ac:dyDescent="0.3">
      <c r="B33" s="34" t="s">
        <v>89</v>
      </c>
      <c r="D33" s="36">
        <f>IFERROR(IF(D18=0,0,D19/D18),0)</f>
        <v>-3.2802430603989272</v>
      </c>
      <c r="E33" s="36">
        <f>IFERROR(IF(E18&lt;0,0,MIN(E19/E18,0.35)),0)</f>
        <v>0.35</v>
      </c>
      <c r="F33" s="36">
        <f>IFERROR(IF(F18&lt;0,"",F19/F18),0)</f>
        <v>0.31830225272079293</v>
      </c>
      <c r="G33" s="37">
        <v>0.28000000000000003</v>
      </c>
      <c r="H33" s="37">
        <v>0.28000000000000003</v>
      </c>
      <c r="I33" s="37">
        <v>0.28000000000000003</v>
      </c>
    </row>
    <row r="34" spans="1:9" x14ac:dyDescent="0.3">
      <c r="B34" s="40" t="s">
        <v>90</v>
      </c>
      <c r="D34" s="36">
        <f t="shared" ref="D34:F35" si="7">D58/D6</f>
        <v>2.7331276701157103E-2</v>
      </c>
      <c r="E34" s="36">
        <f t="shared" si="7"/>
        <v>2.4068818464654772E-2</v>
      </c>
      <c r="F34" s="36">
        <f t="shared" si="7"/>
        <v>2.1180715390897404E-2</v>
      </c>
      <c r="G34" s="36">
        <f t="shared" ref="G34:I40" si="8">(D34*0.2)+(E34*0.3)+(F34*0.5)</f>
        <v>2.3277258575076554E-2</v>
      </c>
      <c r="H34" s="36">
        <f t="shared" si="8"/>
        <v>2.2806607597738456E-2</v>
      </c>
      <c r="I34" s="36">
        <f t="shared" si="8"/>
        <v>2.2622624449571672E-2</v>
      </c>
    </row>
    <row r="35" spans="1:9" x14ac:dyDescent="0.3">
      <c r="B35" s="40" t="s">
        <v>91</v>
      </c>
      <c r="D35" s="36">
        <f t="shared" si="7"/>
        <v>0.32809609991713085</v>
      </c>
      <c r="E35" s="36">
        <f t="shared" si="7"/>
        <v>0.30329310505491458</v>
      </c>
      <c r="F35" s="36">
        <f t="shared" si="7"/>
        <v>0.32936026515437739</v>
      </c>
      <c r="G35" s="36">
        <f t="shared" si="8"/>
        <v>0.32128728407708923</v>
      </c>
      <c r="H35" s="36">
        <f t="shared" si="8"/>
        <v>0.3201103425958407</v>
      </c>
      <c r="I35" s="36">
        <f t="shared" si="8"/>
        <v>0.32231340955192261</v>
      </c>
    </row>
    <row r="36" spans="1:9" x14ac:dyDescent="0.3">
      <c r="B36" s="40" t="s">
        <v>92</v>
      </c>
      <c r="D36" s="41">
        <f t="shared" ref="D36:F37" si="9">D34*365</f>
        <v>9.9759159959223425</v>
      </c>
      <c r="E36" s="41">
        <f t="shared" si="9"/>
        <v>8.7851187395989925</v>
      </c>
      <c r="F36" s="41">
        <f t="shared" si="9"/>
        <v>7.7309611176775528</v>
      </c>
      <c r="G36" s="42">
        <f t="shared" si="8"/>
        <v>8.4961993799029418</v>
      </c>
      <c r="H36" s="42">
        <f t="shared" si="8"/>
        <v>8.3244117731745355</v>
      </c>
      <c r="I36" s="42">
        <f t="shared" si="8"/>
        <v>8.2572579240936612</v>
      </c>
    </row>
    <row r="37" spans="1:9" x14ac:dyDescent="0.3">
      <c r="B37" s="40" t="s">
        <v>93</v>
      </c>
      <c r="D37" s="43">
        <f t="shared" si="9"/>
        <v>119.75507646975277</v>
      </c>
      <c r="E37" s="43">
        <f t="shared" si="9"/>
        <v>110.70198334504383</v>
      </c>
      <c r="F37" s="43">
        <f t="shared" si="9"/>
        <v>120.21649678134774</v>
      </c>
      <c r="G37" s="44">
        <f t="shared" si="8"/>
        <v>117.26985868813757</v>
      </c>
      <c r="H37" s="44">
        <f t="shared" si="8"/>
        <v>116.84027504748187</v>
      </c>
      <c r="I37" s="44">
        <f t="shared" si="8"/>
        <v>117.64439448645174</v>
      </c>
    </row>
    <row r="38" spans="1:9" x14ac:dyDescent="0.3">
      <c r="B38" s="40" t="s">
        <v>94</v>
      </c>
      <c r="D38" s="43">
        <f>(D50/D7)*365</f>
        <v>219.72744418613095</v>
      </c>
      <c r="E38" s="43">
        <f>(E50/E7)*365</f>
        <v>222.16867785386003</v>
      </c>
      <c r="F38" s="43">
        <f>(F50/F7)*365</f>
        <v>259.430948428232</v>
      </c>
      <c r="G38" s="44">
        <f t="shared" si="8"/>
        <v>240.31156640750021</v>
      </c>
      <c r="H38" s="44">
        <f t="shared" si="8"/>
        <v>242.41880330299171</v>
      </c>
      <c r="I38" s="44">
        <f t="shared" si="8"/>
        <v>245.1890612593923</v>
      </c>
    </row>
    <row r="39" spans="1:9" x14ac:dyDescent="0.3">
      <c r="B39" s="40" t="s">
        <v>95</v>
      </c>
      <c r="D39" s="36">
        <f>D53/D6</f>
        <v>0.64936018457501432</v>
      </c>
      <c r="E39" s="36">
        <f>E53/E6</f>
        <v>0.69054784810515812</v>
      </c>
      <c r="F39" s="36">
        <f>F53/F6</f>
        <v>0.77499860644402685</v>
      </c>
      <c r="G39" s="36">
        <f t="shared" si="8"/>
        <v>0.7245356945685637</v>
      </c>
      <c r="H39" s="36">
        <f t="shared" si="8"/>
        <v>0.73287699883852153</v>
      </c>
      <c r="I39" s="36">
        <f t="shared" si="8"/>
        <v>0.7387989290786352</v>
      </c>
    </row>
    <row r="40" spans="1:9" x14ac:dyDescent="0.3">
      <c r="B40" s="40" t="s">
        <v>96</v>
      </c>
      <c r="D40" s="36">
        <f>D49/D6</f>
        <v>0.3799878850174529</v>
      </c>
      <c r="E40" s="36">
        <f>E49/E6</f>
        <v>0.43378768734741813</v>
      </c>
      <c r="F40" s="36">
        <f>F49/F6</f>
        <v>0.39795685309473239</v>
      </c>
      <c r="G40" s="36">
        <f t="shared" si="8"/>
        <v>0.40511230975508217</v>
      </c>
      <c r="H40" s="36">
        <f t="shared" si="8"/>
        <v>0.40870074827544445</v>
      </c>
      <c r="I40" s="36">
        <f t="shared" si="8"/>
        <v>0.40547543768319338</v>
      </c>
    </row>
    <row r="41" spans="1:9" x14ac:dyDescent="0.3">
      <c r="B41" s="40" t="s">
        <v>97</v>
      </c>
      <c r="G41" s="45">
        <v>13000</v>
      </c>
      <c r="H41" s="44">
        <f>G41*1.05</f>
        <v>13650</v>
      </c>
      <c r="I41" s="44">
        <f>H41*1.05</f>
        <v>14332.5</v>
      </c>
    </row>
    <row r="42" spans="1:9" x14ac:dyDescent="0.3">
      <c r="B42" s="40" t="s">
        <v>98</v>
      </c>
      <c r="D42" s="36">
        <f>D50/D6</f>
        <v>0.39356911033771408</v>
      </c>
      <c r="E42" s="36">
        <f>E50/E6</f>
        <v>0.40947594131686321</v>
      </c>
      <c r="F42" s="36">
        <f>F50/F6</f>
        <v>0.4392406149497583</v>
      </c>
      <c r="G42" s="12">
        <f>(D42*0.2)+(E42*0.3)+(F42*0.5)</f>
        <v>0.42117691193748091</v>
      </c>
      <c r="H42" s="12">
        <f>(E42*0.2)+(F42*0.3)+(G42*0.5)</f>
        <v>0.4242558287170406</v>
      </c>
      <c r="I42" s="12">
        <f>(F42*0.2)+(G42*0.3)+(H42*0.5)</f>
        <v>0.4263291109297162</v>
      </c>
    </row>
    <row r="43" spans="1:9" x14ac:dyDescent="0.3">
      <c r="B43" s="40" t="s">
        <v>99</v>
      </c>
      <c r="D43" s="36">
        <f>D98/D6</f>
        <v>-4.9744561675794793E-3</v>
      </c>
      <c r="E43" s="36">
        <f>E98/E6</f>
        <v>-4.4430715104352009E-3</v>
      </c>
      <c r="F43" s="36">
        <f>F98/F6</f>
        <v>-5.0056013626952776E-3</v>
      </c>
      <c r="G43" s="37">
        <f>0</f>
        <v>0</v>
      </c>
      <c r="H43" s="12">
        <f>G43</f>
        <v>0</v>
      </c>
      <c r="I43" s="12">
        <f>H43</f>
        <v>0</v>
      </c>
    </row>
    <row r="44" spans="1:9" x14ac:dyDescent="0.3">
      <c r="B44" s="40" t="s">
        <v>100</v>
      </c>
      <c r="D44" s="36">
        <f>D99/D6</f>
        <v>1.7628774488614998E-3</v>
      </c>
      <c r="E44" s="36">
        <f>E99/E6</f>
        <v>1.4276398674106926E-3</v>
      </c>
      <c r="F44" s="36">
        <f>F99/F6</f>
        <v>1.2621697067725613E-3</v>
      </c>
      <c r="G44" s="37">
        <f>0</f>
        <v>0</v>
      </c>
      <c r="H44" s="12">
        <f>G44</f>
        <v>0</v>
      </c>
      <c r="I44" s="12">
        <f>H44</f>
        <v>0</v>
      </c>
    </row>
    <row r="46" spans="1:9" x14ac:dyDescent="0.3">
      <c r="A46" t="s">
        <v>64</v>
      </c>
      <c r="B46" s="25" t="str">
        <f>"Balance sheet"&amp;"-"&amp;$B$2</f>
        <v>Balance sheet-TATA STEEL LTD.</v>
      </c>
      <c r="C46" s="26"/>
      <c r="D46" s="26"/>
      <c r="E46" s="26"/>
      <c r="F46" s="26"/>
      <c r="G46" s="26"/>
      <c r="H46" s="26"/>
      <c r="I46" s="26"/>
    </row>
    <row r="47" spans="1:9" outlineLevel="1" x14ac:dyDescent="0.3">
      <c r="B47" s="46" t="str">
        <f>'Data Sheet'!A57</f>
        <v>Equity Share Capital</v>
      </c>
      <c r="D47" s="28">
        <f>'Data Sheet'!I57</f>
        <v>1247.44</v>
      </c>
      <c r="E47" s="28">
        <f>'Data Sheet'!J57</f>
        <v>1247.44</v>
      </c>
      <c r="F47" s="28">
        <f>'Data Sheet'!K57</f>
        <v>1247.44</v>
      </c>
      <c r="G47" s="28">
        <f>F47</f>
        <v>1247.44</v>
      </c>
      <c r="H47" s="28">
        <f>G47</f>
        <v>1247.44</v>
      </c>
      <c r="I47" s="28">
        <f>H47</f>
        <v>1247.44</v>
      </c>
    </row>
    <row r="48" spans="1:9" outlineLevel="1" x14ac:dyDescent="0.3">
      <c r="B48" s="46" t="str">
        <f>'Data Sheet'!A58&amp;"/"&amp;"Retained Earnings"</f>
        <v>Reserves/Retained Earnings</v>
      </c>
      <c r="D48" s="28">
        <f>'Data Sheet'!I58</f>
        <v>90788.32</v>
      </c>
      <c r="E48" s="28">
        <f>'Data Sheet'!J58</f>
        <v>89922.19</v>
      </c>
      <c r="F48" s="28">
        <f>'Data Sheet'!K58</f>
        <v>100920.21</v>
      </c>
      <c r="G48" s="28">
        <f>F48+G20+G97</f>
        <v>107377.72683932933</v>
      </c>
      <c r="H48" s="28">
        <f>G48+H20+H97</f>
        <v>114329.23780688635</v>
      </c>
      <c r="I48" s="28">
        <f>H48+I20+I97</f>
        <v>122557.92152171445</v>
      </c>
    </row>
    <row r="49" spans="2:14" outlineLevel="1" x14ac:dyDescent="0.3">
      <c r="B49" s="46" t="str">
        <f>'Data Sheet'!A59</f>
        <v>Borrowings</v>
      </c>
      <c r="D49" s="28">
        <f>'Data Sheet'!I59</f>
        <v>87082.12</v>
      </c>
      <c r="E49" s="28">
        <f>'Data Sheet'!J59</f>
        <v>94801.05</v>
      </c>
      <c r="F49" s="28">
        <f>'Data Sheet'!K59</f>
        <v>92381.68</v>
      </c>
      <c r="G49" s="28">
        <f>G6*G40</f>
        <v>99215.098380195515</v>
      </c>
      <c r="H49" s="28">
        <f>H6*H40</f>
        <v>105599.10076843202</v>
      </c>
      <c r="I49" s="28">
        <f>I6*I40</f>
        <v>110527.86930733503</v>
      </c>
    </row>
    <row r="50" spans="2:14" outlineLevel="1" x14ac:dyDescent="0.3">
      <c r="B50" s="46" t="str">
        <f>'Data Sheet'!A60</f>
        <v>Other Liabilities</v>
      </c>
      <c r="D50" s="28">
        <f>'Data Sheet'!I60</f>
        <v>90194.54</v>
      </c>
      <c r="E50" s="28">
        <f>'Data Sheet'!J60</f>
        <v>89487.9</v>
      </c>
      <c r="F50" s="28">
        <f>'Data Sheet'!K60</f>
        <v>101965.29</v>
      </c>
      <c r="G50" s="28">
        <f>G6*G42</f>
        <v>103149.44213521246</v>
      </c>
      <c r="H50" s="28">
        <f>H6*H42</f>
        <v>109618.18444749135</v>
      </c>
      <c r="I50" s="28">
        <f>I6*I42</f>
        <v>116212.33711218988</v>
      </c>
    </row>
    <row r="51" spans="2:14" outlineLevel="1" x14ac:dyDescent="0.3">
      <c r="B51" s="47" t="s">
        <v>101</v>
      </c>
      <c r="C51" s="2"/>
      <c r="D51" s="48">
        <f t="shared" ref="D51:I51" si="10">SUM(D47:D50)</f>
        <v>269312.42</v>
      </c>
      <c r="E51" s="48">
        <f t="shared" si="10"/>
        <v>275458.57999999996</v>
      </c>
      <c r="F51" s="48">
        <f t="shared" si="10"/>
        <v>296514.62</v>
      </c>
      <c r="G51" s="48">
        <f t="shared" si="10"/>
        <v>310989.70735473733</v>
      </c>
      <c r="H51" s="48">
        <f t="shared" si="10"/>
        <v>330793.96302280971</v>
      </c>
      <c r="I51" s="48">
        <f t="shared" si="10"/>
        <v>350545.56794123934</v>
      </c>
    </row>
    <row r="52" spans="2:14" outlineLevel="1" x14ac:dyDescent="0.3">
      <c r="B52" s="46"/>
      <c r="D52" s="28"/>
      <c r="E52" s="28"/>
      <c r="F52" s="28"/>
      <c r="G52" s="28"/>
      <c r="H52" s="28"/>
      <c r="I52" s="28"/>
    </row>
    <row r="53" spans="2:14" outlineLevel="1" x14ac:dyDescent="0.3">
      <c r="B53" s="46" t="str">
        <f>'Data Sheet'!A62</f>
        <v>Net Block</v>
      </c>
      <c r="D53" s="28">
        <f>'Data Sheet'!I62</f>
        <v>148814.38</v>
      </c>
      <c r="E53" s="28">
        <f>'Data Sheet'!J62</f>
        <v>150914.06</v>
      </c>
      <c r="F53" s="28">
        <f>'Data Sheet'!K62</f>
        <v>179908.13</v>
      </c>
      <c r="G53" s="28">
        <f>F53+G41-G13</f>
        <v>180986.40494356217</v>
      </c>
      <c r="H53" s="28">
        <f>G53+H41-H13</f>
        <v>181891.8168337665</v>
      </c>
      <c r="I53" s="28">
        <f>H53+I41-I13</f>
        <v>182713.29714459652</v>
      </c>
    </row>
    <row r="54" spans="2:14" outlineLevel="1" x14ac:dyDescent="0.3">
      <c r="B54" s="46" t="str">
        <f>'Data Sheet'!A63</f>
        <v>Capital Work in Progress</v>
      </c>
      <c r="D54" s="28">
        <f>'Data Sheet'!I63</f>
        <v>34355.53</v>
      </c>
      <c r="E54" s="28">
        <f>'Data Sheet'!J63</f>
        <v>41622.35</v>
      </c>
      <c r="F54" s="28">
        <f>'Data Sheet'!K63</f>
        <v>28496.71</v>
      </c>
      <c r="G54" s="28">
        <f>F54*1.03</f>
        <v>29351.6113</v>
      </c>
      <c r="H54" s="28">
        <f>G54*1.03</f>
        <v>30232.159639000001</v>
      </c>
      <c r="I54" s="28">
        <f>H54*1.03</f>
        <v>31139.124428170002</v>
      </c>
    </row>
    <row r="55" spans="2:14" outlineLevel="1" x14ac:dyDescent="0.3">
      <c r="B55" s="46" t="str">
        <f>'Data Sheet'!A64</f>
        <v>Investments</v>
      </c>
      <c r="D55" s="28">
        <f>'Data Sheet'!I64</f>
        <v>6257.57</v>
      </c>
      <c r="E55" s="28">
        <f>'Data Sheet'!J64</f>
        <v>6194.11</v>
      </c>
      <c r="F55" s="28">
        <f>'Data Sheet'!K64</f>
        <v>7088.85</v>
      </c>
      <c r="G55" s="28">
        <f t="shared" ref="G55:I56" si="11">F55</f>
        <v>7088.85</v>
      </c>
      <c r="H55" s="28">
        <f t="shared" si="11"/>
        <v>7088.85</v>
      </c>
      <c r="I55" s="28">
        <f t="shared" si="11"/>
        <v>7088.85</v>
      </c>
      <c r="N55" s="28"/>
    </row>
    <row r="56" spans="2:14" outlineLevel="1" x14ac:dyDescent="0.3">
      <c r="B56" s="46" t="str">
        <f>'Data Sheet'!A65</f>
        <v>Other Assets</v>
      </c>
      <c r="D56" s="28">
        <f>'Data Sheet'!I65-'Data Sheet'!I67-'Data Sheet'!I68-'Data Sheet'!I69</f>
        <v>15786.180000000002</v>
      </c>
      <c r="E56" s="28">
        <f>'Data Sheet'!J65-'Data Sheet'!J67-'Data Sheet'!J68-'Data Sheet'!J69</f>
        <v>15231.079999999998</v>
      </c>
      <c r="F56" s="28">
        <f>'Data Sheet'!K65-'Data Sheet'!K67-'Data Sheet'!K68-'Data Sheet'!K69</f>
        <v>18797.289999999994</v>
      </c>
      <c r="G56" s="28">
        <f t="shared" si="11"/>
        <v>18797.289999999994</v>
      </c>
      <c r="H56" s="28">
        <f t="shared" si="11"/>
        <v>18797.289999999994</v>
      </c>
      <c r="I56" s="28">
        <f t="shared" si="11"/>
        <v>18797.289999999994</v>
      </c>
      <c r="N56" s="28"/>
    </row>
    <row r="57" spans="2:14" outlineLevel="1" x14ac:dyDescent="0.3">
      <c r="B57" s="47" t="s">
        <v>102</v>
      </c>
      <c r="C57" s="2"/>
      <c r="D57" s="48">
        <f t="shared" ref="D57:I57" si="12">SUM(D53:D56)</f>
        <v>205213.66</v>
      </c>
      <c r="E57" s="48">
        <f t="shared" si="12"/>
        <v>213961.59999999998</v>
      </c>
      <c r="F57" s="48">
        <f t="shared" si="12"/>
        <v>234290.97999999998</v>
      </c>
      <c r="G57" s="48">
        <f t="shared" si="12"/>
        <v>236224.15624356217</v>
      </c>
      <c r="H57" s="48">
        <f t="shared" si="12"/>
        <v>238010.1164727665</v>
      </c>
      <c r="I57" s="48">
        <f t="shared" si="12"/>
        <v>239738.56157276651</v>
      </c>
      <c r="N57" s="28"/>
    </row>
    <row r="58" spans="2:14" outlineLevel="1" x14ac:dyDescent="0.3">
      <c r="B58" s="46" t="str">
        <f>'Data Sheet'!A67</f>
        <v>Receivables</v>
      </c>
      <c r="D58" s="28">
        <f>'Data Sheet'!I67</f>
        <v>6263.53</v>
      </c>
      <c r="E58" s="28">
        <f>'Data Sheet'!J67</f>
        <v>5260.06</v>
      </c>
      <c r="F58" s="28">
        <f>'Data Sheet'!K67</f>
        <v>4916.8900000000003</v>
      </c>
      <c r="G58" s="28">
        <f t="shared" ref="G58:I59" si="13">G6*(G36/365)</f>
        <v>5700.778386476808</v>
      </c>
      <c r="H58" s="28">
        <f t="shared" si="13"/>
        <v>5892.7155481412392</v>
      </c>
      <c r="I58" s="28">
        <f t="shared" si="13"/>
        <v>6166.6632455917588</v>
      </c>
    </row>
    <row r="59" spans="2:14" outlineLevel="1" x14ac:dyDescent="0.3">
      <c r="B59" s="46" t="str">
        <f>'Data Sheet'!A68</f>
        <v>Inventory</v>
      </c>
      <c r="D59" s="28">
        <f>'Data Sheet'!I68</f>
        <v>49157.51</v>
      </c>
      <c r="E59" s="28">
        <f>'Data Sheet'!J68</f>
        <v>44589.94</v>
      </c>
      <c r="F59" s="28">
        <f>'Data Sheet'!K68</f>
        <v>47249.22</v>
      </c>
      <c r="G59" s="28">
        <f t="shared" si="13"/>
        <v>50481.814066095503</v>
      </c>
      <c r="H59" s="28">
        <f t="shared" si="13"/>
        <v>52993.540595847153</v>
      </c>
      <c r="I59" s="28">
        <f t="shared" si="13"/>
        <v>55915.554263625505</v>
      </c>
    </row>
    <row r="60" spans="2:14" outlineLevel="1" x14ac:dyDescent="0.3">
      <c r="B60" s="46" t="str">
        <f>'Data Sheet'!A69</f>
        <v>Cash &amp; Bank</v>
      </c>
      <c r="D60" s="28">
        <f>'Data Sheet'!I69</f>
        <v>8677.7199999999993</v>
      </c>
      <c r="E60" s="28">
        <f>'Data Sheet'!J69</f>
        <v>11646.98</v>
      </c>
      <c r="F60" s="28">
        <f>'Data Sheet'!K69</f>
        <v>10057.530000000001</v>
      </c>
      <c r="G60" s="28">
        <f>F60+G102</f>
        <v>18582.958658602853</v>
      </c>
      <c r="H60" s="28">
        <f>G60+H102</f>
        <v>33897.590406054856</v>
      </c>
      <c r="I60" s="28">
        <f>H60+I102</f>
        <v>48724.788859255612</v>
      </c>
    </row>
    <row r="61" spans="2:14" outlineLevel="1" x14ac:dyDescent="0.3">
      <c r="B61" s="47" t="s">
        <v>103</v>
      </c>
      <c r="C61" s="2"/>
      <c r="D61" s="48">
        <f t="shared" ref="D61:I61" si="14">SUM(D58:D60)</f>
        <v>64098.76</v>
      </c>
      <c r="E61" s="48">
        <f t="shared" si="14"/>
        <v>61496.979999999996</v>
      </c>
      <c r="F61" s="48">
        <f t="shared" si="14"/>
        <v>62223.64</v>
      </c>
      <c r="G61" s="48">
        <f t="shared" si="14"/>
        <v>74765.551111175155</v>
      </c>
      <c r="H61" s="48">
        <f t="shared" si="14"/>
        <v>92783.84655004325</v>
      </c>
      <c r="I61" s="48">
        <f t="shared" si="14"/>
        <v>110807.00636847288</v>
      </c>
    </row>
    <row r="62" spans="2:14" outlineLevel="1" x14ac:dyDescent="0.3">
      <c r="B62" s="46"/>
      <c r="D62" s="28"/>
      <c r="E62" s="28"/>
      <c r="F62" s="28"/>
      <c r="G62" s="28"/>
      <c r="H62" s="28"/>
      <c r="I62" s="28"/>
    </row>
    <row r="63" spans="2:14" outlineLevel="1" x14ac:dyDescent="0.3">
      <c r="B63" s="47" t="s">
        <v>104</v>
      </c>
      <c r="C63" s="2"/>
      <c r="D63" s="48">
        <f t="shared" ref="D63:I63" si="15">D57+D61</f>
        <v>269312.42</v>
      </c>
      <c r="E63" s="48">
        <f t="shared" si="15"/>
        <v>275458.57999999996</v>
      </c>
      <c r="F63" s="48">
        <f t="shared" si="15"/>
        <v>296514.62</v>
      </c>
      <c r="G63" s="48">
        <f t="shared" si="15"/>
        <v>310989.70735473733</v>
      </c>
      <c r="H63" s="48">
        <f t="shared" si="15"/>
        <v>330793.96302280977</v>
      </c>
      <c r="I63" s="48">
        <f t="shared" si="15"/>
        <v>350545.56794123939</v>
      </c>
    </row>
    <row r="64" spans="2:14" outlineLevel="1" x14ac:dyDescent="0.3">
      <c r="B64" s="46"/>
    </row>
    <row r="65" spans="1:9" outlineLevel="1" x14ac:dyDescent="0.3">
      <c r="B65" s="46" t="s">
        <v>105</v>
      </c>
      <c r="D65" t="b">
        <f t="shared" ref="D65:I65" si="16">ABS(D63-D51)&lt;0.1</f>
        <v>1</v>
      </c>
      <c r="E65" t="b">
        <f t="shared" si="16"/>
        <v>1</v>
      </c>
      <c r="F65" t="b">
        <f t="shared" si="16"/>
        <v>1</v>
      </c>
      <c r="G65" t="b">
        <f t="shared" si="16"/>
        <v>1</v>
      </c>
      <c r="H65" t="b">
        <f t="shared" si="16"/>
        <v>1</v>
      </c>
      <c r="I65" t="b">
        <f t="shared" si="16"/>
        <v>1</v>
      </c>
    </row>
    <row r="67" spans="1:9" x14ac:dyDescent="0.3">
      <c r="A67" t="s">
        <v>64</v>
      </c>
      <c r="B67" s="25" t="str">
        <f>"Cash Flow Statement"&amp;"-"&amp;$B$2</f>
        <v>Cash Flow Statement-TATA STEEL LTD.</v>
      </c>
      <c r="C67" s="26"/>
      <c r="D67" s="26"/>
      <c r="E67" s="26"/>
      <c r="F67" s="26"/>
      <c r="G67" s="26"/>
      <c r="H67" s="26"/>
      <c r="I67" s="26"/>
    </row>
    <row r="68" spans="1:9" outlineLevel="1" x14ac:dyDescent="0.3"/>
    <row r="69" spans="1:9" outlineLevel="1" x14ac:dyDescent="0.3">
      <c r="B69" s="2" t="s">
        <v>106</v>
      </c>
      <c r="D69" s="49"/>
      <c r="E69" s="49"/>
      <c r="F69" s="49"/>
    </row>
    <row r="70" spans="1:9" outlineLevel="1" x14ac:dyDescent="0.3">
      <c r="B70" s="18" t="s">
        <v>107</v>
      </c>
      <c r="D70" s="50">
        <f>'Cash Flow Data'!L4</f>
        <v>22237</v>
      </c>
      <c r="E70" s="50">
        <f>'Cash Flow Data'!M4</f>
        <v>23929</v>
      </c>
      <c r="F70" s="50">
        <f>'Cash Flow Data'!N4</f>
        <v>34219</v>
      </c>
      <c r="G70" s="50">
        <f>G18+G16+G13</f>
        <v>34979.824958854675</v>
      </c>
      <c r="H70" s="50">
        <f>H18+H16+H13</f>
        <v>36907.087524760886</v>
      </c>
      <c r="I70" s="50">
        <f>I18+I16+I13</f>
        <v>39844.499941014961</v>
      </c>
    </row>
    <row r="71" spans="1:9" outlineLevel="1" x14ac:dyDescent="0.3">
      <c r="B71" s="18" t="s">
        <v>108</v>
      </c>
      <c r="D71" s="50">
        <f>'Cash Flow Data'!L5</f>
        <v>0</v>
      </c>
      <c r="E71" s="50">
        <f>'Cash Flow Data'!M5</f>
        <v>0</v>
      </c>
      <c r="F71" s="50">
        <f>'Cash Flow Data'!N5</f>
        <v>0</v>
      </c>
      <c r="G71" s="50">
        <f t="shared" ref="G71:I72" si="17">-(G58-F58)</f>
        <v>-783.88838647680768</v>
      </c>
      <c r="H71" s="50">
        <f t="shared" si="17"/>
        <v>-191.93716166443119</v>
      </c>
      <c r="I71" s="50">
        <f t="shared" si="17"/>
        <v>-273.94769745051963</v>
      </c>
    </row>
    <row r="72" spans="1:9" outlineLevel="1" x14ac:dyDescent="0.3">
      <c r="B72" s="18" t="s">
        <v>41</v>
      </c>
      <c r="D72" s="50">
        <f>'Cash Flow Data'!L6</f>
        <v>5566</v>
      </c>
      <c r="E72" s="50">
        <f>'Cash Flow Data'!M6</f>
        <v>4776</v>
      </c>
      <c r="F72" s="50">
        <f>'Cash Flow Data'!N6</f>
        <v>1290</v>
      </c>
      <c r="G72" s="50">
        <f t="shared" si="17"/>
        <v>-3232.5940660955021</v>
      </c>
      <c r="H72" s="50">
        <f t="shared" si="17"/>
        <v>-2511.7265297516497</v>
      </c>
      <c r="I72" s="50">
        <f t="shared" si="17"/>
        <v>-2922.0136677783521</v>
      </c>
    </row>
    <row r="73" spans="1:9" outlineLevel="1" x14ac:dyDescent="0.3">
      <c r="B73" s="18" t="s">
        <v>109</v>
      </c>
      <c r="D73" s="50">
        <f>'Cash Flow Data'!L7</f>
        <v>0</v>
      </c>
      <c r="E73" s="50">
        <f>'Cash Flow Data'!M7</f>
        <v>0</v>
      </c>
      <c r="F73" s="50">
        <f>'Cash Flow Data'!N7</f>
        <v>0</v>
      </c>
      <c r="G73" s="50">
        <f>G50-F50</f>
        <v>1184.1521352124691</v>
      </c>
      <c r="H73" s="50">
        <f>H50-G50</f>
        <v>6468.7423122788896</v>
      </c>
      <c r="I73" s="50">
        <f>I50-H50</f>
        <v>6594.1526646985294</v>
      </c>
    </row>
    <row r="74" spans="1:9" outlineLevel="1" x14ac:dyDescent="0.3">
      <c r="B74" s="18" t="s">
        <v>110</v>
      </c>
      <c r="D74" s="50">
        <f>'Cash Flow Data'!L8</f>
        <v>-2182</v>
      </c>
      <c r="E74" s="50">
        <f>'Cash Flow Data'!M8</f>
        <v>-2569</v>
      </c>
      <c r="F74" s="50">
        <f>'Cash Flow Data'!N8</f>
        <v>4152</v>
      </c>
      <c r="G74" s="50">
        <v>0</v>
      </c>
      <c r="H74" s="50">
        <v>0</v>
      </c>
      <c r="I74" s="50">
        <v>0</v>
      </c>
    </row>
    <row r="75" spans="1:9" outlineLevel="1" x14ac:dyDescent="0.3">
      <c r="B75" s="18" t="s">
        <v>111</v>
      </c>
      <c r="D75" s="50">
        <f>'Cash Flow Data'!L9</f>
        <v>3384</v>
      </c>
      <c r="E75" s="50">
        <f>'Cash Flow Data'!M9</f>
        <v>2207</v>
      </c>
      <c r="F75" s="50">
        <f>'Cash Flow Data'!N9</f>
        <v>5442</v>
      </c>
      <c r="G75" s="50">
        <f>SUM(G71:G74)</f>
        <v>-2832.3303173598406</v>
      </c>
      <c r="H75" s="50">
        <f>SUM(H71:H74)</f>
        <v>3765.0786208628087</v>
      </c>
      <c r="I75" s="50">
        <f>SUM(I71:I74)</f>
        <v>3398.1912994696577</v>
      </c>
    </row>
    <row r="76" spans="1:9" outlineLevel="1" x14ac:dyDescent="0.3">
      <c r="B76" s="18" t="s">
        <v>112</v>
      </c>
      <c r="D76" s="50">
        <f>'Cash Flow Data'!L10</f>
        <v>-5320</v>
      </c>
      <c r="E76" s="50">
        <f>'Cash Flow Data'!M10</f>
        <v>-2998</v>
      </c>
      <c r="F76" s="50">
        <f>'Cash Flow Data'!N10</f>
        <v>-4597</v>
      </c>
      <c r="G76" s="50">
        <f>-G19</f>
        <v>-4257.3676597391859</v>
      </c>
      <c r="H76" s="50">
        <f>-H19</f>
        <v>-4449.4764873832828</v>
      </c>
      <c r="I76" s="50">
        <f>-I19</f>
        <v>-4946.1547779887051</v>
      </c>
    </row>
    <row r="77" spans="1:9" outlineLevel="1" x14ac:dyDescent="0.3">
      <c r="B77" s="51" t="s">
        <v>113</v>
      </c>
      <c r="C77" s="52"/>
      <c r="D77" s="53">
        <f>SUM(D70:D76)</f>
        <v>23685</v>
      </c>
      <c r="E77" s="53">
        <f>SUM(E70:E76)</f>
        <v>25345</v>
      </c>
      <c r="F77" s="53">
        <f>SUM(F70:F76)</f>
        <v>40506</v>
      </c>
      <c r="G77" s="53">
        <f>G70+G75+G76</f>
        <v>27890.126981755649</v>
      </c>
      <c r="H77" s="53">
        <f>H70+H75+H76</f>
        <v>36222.689658240408</v>
      </c>
      <c r="I77" s="53">
        <f>I70+I75+I76</f>
        <v>38296.536462495918</v>
      </c>
    </row>
    <row r="78" spans="1:9" outlineLevel="1" x14ac:dyDescent="0.3">
      <c r="D78" s="50"/>
      <c r="E78" s="50"/>
      <c r="F78" s="50"/>
      <c r="G78" s="50"/>
      <c r="H78" s="50"/>
      <c r="I78" s="50"/>
    </row>
    <row r="79" spans="1:9" outlineLevel="1" x14ac:dyDescent="0.3">
      <c r="B79" s="54" t="s">
        <v>114</v>
      </c>
      <c r="D79" s="50"/>
      <c r="E79" s="50"/>
      <c r="F79" s="50"/>
      <c r="G79" s="50"/>
      <c r="H79" s="50"/>
      <c r="I79" s="50"/>
    </row>
    <row r="80" spans="1:9" outlineLevel="1" x14ac:dyDescent="0.3">
      <c r="B80" s="18" t="s">
        <v>115</v>
      </c>
      <c r="D80" s="50">
        <f>'Cash Flow Data'!L12</f>
        <v>-18207</v>
      </c>
      <c r="E80" s="50">
        <f>'Cash Flow Data'!M12</f>
        <v>-15671</v>
      </c>
      <c r="F80" s="50">
        <f>'Cash Flow Data'!N12</f>
        <v>-14559</v>
      </c>
      <c r="G80" s="50">
        <f>-G41</f>
        <v>-13000</v>
      </c>
      <c r="H80" s="50">
        <f>-H41</f>
        <v>-13650</v>
      </c>
      <c r="I80" s="50">
        <f>-I41</f>
        <v>-14332.5</v>
      </c>
    </row>
    <row r="81" spans="2:9" outlineLevel="1" x14ac:dyDescent="0.3">
      <c r="B81" s="18" t="s">
        <v>116</v>
      </c>
      <c r="D81" s="50">
        <f>'Cash Flow Data'!L13</f>
        <v>475</v>
      </c>
      <c r="E81" s="50">
        <f>'Cash Flow Data'!M13</f>
        <v>1264</v>
      </c>
      <c r="F81" s="50">
        <f>'Cash Flow Data'!N13</f>
        <v>1401</v>
      </c>
      <c r="G81" s="50">
        <v>0</v>
      </c>
      <c r="H81" s="50">
        <v>0</v>
      </c>
      <c r="I81" s="50">
        <v>0</v>
      </c>
    </row>
    <row r="82" spans="2:9" outlineLevel="1" x14ac:dyDescent="0.3">
      <c r="B82" s="18" t="s">
        <v>117</v>
      </c>
      <c r="D82" s="50">
        <f>'Cash Flow Data'!L14</f>
        <v>-4</v>
      </c>
      <c r="E82" s="50">
        <f>'Cash Flow Data'!M14</f>
        <v>-393</v>
      </c>
      <c r="F82" s="50">
        <f>'Cash Flow Data'!N14</f>
        <v>-553</v>
      </c>
      <c r="G82" s="50">
        <v>0</v>
      </c>
      <c r="H82" s="50">
        <v>0</v>
      </c>
      <c r="I82" s="50">
        <v>0</v>
      </c>
    </row>
    <row r="83" spans="2:9" outlineLevel="1" x14ac:dyDescent="0.3">
      <c r="B83" s="18" t="s">
        <v>118</v>
      </c>
      <c r="D83" s="50">
        <f>'Cash Flow Data'!L15</f>
        <v>3171</v>
      </c>
      <c r="E83" s="50">
        <f>'Cash Flow Data'!M15</f>
        <v>554</v>
      </c>
      <c r="F83" s="50">
        <f>'Cash Flow Data'!N15</f>
        <v>20</v>
      </c>
      <c r="G83" s="50">
        <v>0</v>
      </c>
      <c r="H83" s="50">
        <v>0</v>
      </c>
      <c r="I83" s="50">
        <v>0</v>
      </c>
    </row>
    <row r="84" spans="2:9" outlineLevel="1" x14ac:dyDescent="0.3">
      <c r="B84" s="18" t="s">
        <v>119</v>
      </c>
      <c r="D84" s="50">
        <f>'Cash Flow Data'!L16</f>
        <v>333</v>
      </c>
      <c r="E84" s="50">
        <f>'Cash Flow Data'!M16</f>
        <v>616</v>
      </c>
      <c r="F84" s="50">
        <f>'Cash Flow Data'!N16</f>
        <v>650</v>
      </c>
      <c r="G84" s="50">
        <v>0</v>
      </c>
      <c r="H84" s="50">
        <v>0</v>
      </c>
      <c r="I84" s="50">
        <v>0</v>
      </c>
    </row>
    <row r="85" spans="2:9" outlineLevel="1" x14ac:dyDescent="0.3">
      <c r="B85" s="18" t="s">
        <v>120</v>
      </c>
      <c r="D85" s="50">
        <f>'Cash Flow Data'!L17</f>
        <v>336</v>
      </c>
      <c r="E85" s="50">
        <f>'Cash Flow Data'!M17</f>
        <v>294</v>
      </c>
      <c r="F85" s="50">
        <f>'Cash Flow Data'!N17</f>
        <v>408</v>
      </c>
      <c r="G85" s="50">
        <v>0</v>
      </c>
      <c r="H85" s="50">
        <v>0</v>
      </c>
      <c r="I85" s="50">
        <v>0</v>
      </c>
    </row>
    <row r="86" spans="2:9" outlineLevel="1" x14ac:dyDescent="0.3">
      <c r="B86" s="18" t="s">
        <v>121</v>
      </c>
      <c r="D86" s="50">
        <f>'Cash Flow Data'!L18</f>
        <v>123</v>
      </c>
      <c r="E86" s="50">
        <f>'Cash Flow Data'!M18</f>
        <v>28</v>
      </c>
      <c r="F86" s="50">
        <f>'Cash Flow Data'!N18</f>
        <v>611</v>
      </c>
      <c r="G86" s="50">
        <v>0</v>
      </c>
      <c r="H86" s="50">
        <v>0</v>
      </c>
      <c r="I86" s="50">
        <v>0</v>
      </c>
    </row>
    <row r="87" spans="2:9" outlineLevel="1" x14ac:dyDescent="0.3">
      <c r="B87" s="18" t="s">
        <v>122</v>
      </c>
      <c r="D87" s="50">
        <f>'Cash Flow Data'!L19</f>
        <v>0</v>
      </c>
      <c r="E87" s="50">
        <f>'Cash Flow Data'!M19</f>
        <v>-6</v>
      </c>
      <c r="F87" s="50">
        <f>'Cash Flow Data'!N19</f>
        <v>-2846</v>
      </c>
      <c r="G87" s="50">
        <v>0</v>
      </c>
      <c r="H87" s="50">
        <v>0</v>
      </c>
      <c r="I87" s="50">
        <v>0</v>
      </c>
    </row>
    <row r="88" spans="2:9" outlineLevel="1" x14ac:dyDescent="0.3">
      <c r="B88" s="18" t="s">
        <v>123</v>
      </c>
      <c r="D88" s="50">
        <f>'Cash Flow Data'!L20</f>
        <v>0</v>
      </c>
      <c r="E88" s="50">
        <f>'Cash Flow Data'!M20</f>
        <v>0</v>
      </c>
      <c r="F88" s="50">
        <f>'Cash Flow Data'!N20</f>
        <v>0</v>
      </c>
      <c r="G88" s="50">
        <v>0</v>
      </c>
      <c r="H88" s="50">
        <v>0</v>
      </c>
      <c r="I88" s="50">
        <v>0</v>
      </c>
    </row>
    <row r="89" spans="2:9" outlineLevel="1" x14ac:dyDescent="0.3">
      <c r="B89" s="18" t="s">
        <v>124</v>
      </c>
      <c r="D89" s="50">
        <f>'Cash Flow Data'!L21</f>
        <v>-481</v>
      </c>
      <c r="E89" s="50">
        <f>'Cash Flow Data'!M21</f>
        <v>-298</v>
      </c>
      <c r="F89" s="50">
        <f>'Cash Flow Data'!N21</f>
        <v>472</v>
      </c>
      <c r="G89" s="50">
        <f>-(G54-F54+G55-F55)</f>
        <v>-854.90130000000136</v>
      </c>
      <c r="H89" s="50">
        <f>-(H54-G54+H55-G55)</f>
        <v>-880.54833900000085</v>
      </c>
      <c r="I89" s="50">
        <f>-(I54-H54+I55-H55)</f>
        <v>-906.96478917000059</v>
      </c>
    </row>
    <row r="90" spans="2:9" outlineLevel="1" x14ac:dyDescent="0.3">
      <c r="B90" s="51" t="s">
        <v>125</v>
      </c>
      <c r="C90" s="52"/>
      <c r="D90" s="53">
        <f t="shared" ref="D90:I90" si="18">SUM(D80:D89)</f>
        <v>-14254</v>
      </c>
      <c r="E90" s="53">
        <f t="shared" si="18"/>
        <v>-13612</v>
      </c>
      <c r="F90" s="53">
        <f t="shared" si="18"/>
        <v>-14396</v>
      </c>
      <c r="G90" s="53">
        <f t="shared" si="18"/>
        <v>-13854.901300000001</v>
      </c>
      <c r="H90" s="53">
        <f t="shared" si="18"/>
        <v>-14530.548339000001</v>
      </c>
      <c r="I90" s="53">
        <f t="shared" si="18"/>
        <v>-15239.464789170001</v>
      </c>
    </row>
    <row r="91" spans="2:9" outlineLevel="1" x14ac:dyDescent="0.3">
      <c r="D91" s="50"/>
      <c r="E91" s="50"/>
      <c r="F91" s="50"/>
      <c r="G91" s="50"/>
      <c r="H91" s="50"/>
      <c r="I91" s="50"/>
    </row>
    <row r="92" spans="2:9" outlineLevel="1" x14ac:dyDescent="0.3">
      <c r="B92" s="54" t="s">
        <v>126</v>
      </c>
      <c r="D92" s="50"/>
      <c r="E92" s="50"/>
      <c r="F92" s="50"/>
      <c r="G92" s="50"/>
      <c r="H92" s="50"/>
      <c r="I92" s="50"/>
    </row>
    <row r="93" spans="2:9" outlineLevel="1" x14ac:dyDescent="0.3">
      <c r="B93" s="18" t="s">
        <v>127</v>
      </c>
      <c r="D93" s="50">
        <f>'Cash Flow Data'!L23</f>
        <v>0</v>
      </c>
      <c r="E93" s="50">
        <f>'Cash Flow Data'!M23</f>
        <v>0</v>
      </c>
      <c r="F93" s="50">
        <f>'Cash Flow Data'!N23</f>
        <v>0</v>
      </c>
      <c r="G93" s="50">
        <v>0</v>
      </c>
      <c r="H93" s="50">
        <v>0</v>
      </c>
      <c r="I93" s="50">
        <v>0</v>
      </c>
    </row>
    <row r="94" spans="2:9" outlineLevel="1" x14ac:dyDescent="0.3">
      <c r="B94" s="18" t="s">
        <v>128</v>
      </c>
      <c r="D94" s="50">
        <f>'Cash Flow Data'!L24</f>
        <v>14120</v>
      </c>
      <c r="E94" s="50">
        <f>'Cash Flow Data'!M24</f>
        <v>23893</v>
      </c>
      <c r="F94" s="50">
        <f>'Cash Flow Data'!N24</f>
        <v>15954</v>
      </c>
      <c r="G94" s="50">
        <f>MAX(0,G49-F49)</f>
        <v>6833.4183801955223</v>
      </c>
      <c r="H94" s="50">
        <f>MAX(0,H49-G49)</f>
        <v>6384.0023882365058</v>
      </c>
      <c r="I94" s="50">
        <f>MAX(0,I49-H49)</f>
        <v>4928.7685389030084</v>
      </c>
    </row>
    <row r="95" spans="2:9" outlineLevel="1" x14ac:dyDescent="0.3">
      <c r="B95" s="18" t="s">
        <v>129</v>
      </c>
      <c r="D95" s="50">
        <f>'Cash Flow Data'!L25</f>
        <v>-11908</v>
      </c>
      <c r="E95" s="50">
        <f>'Cash Flow Data'!M25</f>
        <v>-17627</v>
      </c>
      <c r="F95" s="50">
        <f>'Cash Flow Data'!N25</f>
        <v>-23916</v>
      </c>
      <c r="G95" s="50">
        <f>MIN(0,G49-F49)</f>
        <v>0</v>
      </c>
      <c r="H95" s="50">
        <f>MIN(0,H49-G49)</f>
        <v>0</v>
      </c>
      <c r="I95" s="50">
        <f>MIN(0,I49-H49)</f>
        <v>0</v>
      </c>
    </row>
    <row r="96" spans="2:9" outlineLevel="1" x14ac:dyDescent="0.3">
      <c r="B96" s="18" t="s">
        <v>130</v>
      </c>
      <c r="D96" s="50">
        <f>'Cash Flow Data'!L26</f>
        <v>-8145</v>
      </c>
      <c r="E96" s="50">
        <f>'Cash Flow Data'!M26</f>
        <v>-8119</v>
      </c>
      <c r="F96" s="50">
        <f>'Cash Flow Data'!N26</f>
        <v>-8066</v>
      </c>
      <c r="G96" s="50">
        <f>-G16</f>
        <v>-7853.2154033483184</v>
      </c>
      <c r="H96" s="50">
        <f>-H16</f>
        <v>-8271.5119600249109</v>
      </c>
      <c r="I96" s="50">
        <f>-I16</f>
        <v>-8668.641759028169</v>
      </c>
    </row>
    <row r="97" spans="2:9" s="18" customFormat="1" outlineLevel="1" x14ac:dyDescent="0.3">
      <c r="B97" s="18" t="s">
        <v>131</v>
      </c>
      <c r="D97" s="50">
        <f>'Cash Flow Data'!L27</f>
        <v>-4429</v>
      </c>
      <c r="E97" s="50">
        <f>'Cash Flow Data'!M27</f>
        <v>-4490</v>
      </c>
      <c r="F97" s="50">
        <f>'Cash Flow Data'!N27</f>
        <v>-4490</v>
      </c>
      <c r="G97" s="50">
        <f>F97</f>
        <v>-4490</v>
      </c>
      <c r="H97" s="50">
        <f>G97</f>
        <v>-4490</v>
      </c>
      <c r="I97" s="50">
        <f>H97</f>
        <v>-4490</v>
      </c>
    </row>
    <row r="98" spans="2:9" s="18" customFormat="1" outlineLevel="1" x14ac:dyDescent="0.3">
      <c r="B98" s="18" t="s">
        <v>132</v>
      </c>
      <c r="D98" s="50">
        <f>'Cash Flow Data'!L28</f>
        <v>-1140</v>
      </c>
      <c r="E98" s="50">
        <f>'Cash Flow Data'!M28</f>
        <v>-971</v>
      </c>
      <c r="F98" s="50">
        <f>'Cash Flow Data'!N28</f>
        <v>-1162</v>
      </c>
      <c r="G98" s="50">
        <f>G6*G43</f>
        <v>0</v>
      </c>
      <c r="H98" s="50">
        <f>H6*H43</f>
        <v>0</v>
      </c>
      <c r="I98" s="50">
        <f>I6*I43</f>
        <v>0</v>
      </c>
    </row>
    <row r="99" spans="2:9" s="18" customFormat="1" outlineLevel="1" x14ac:dyDescent="0.3">
      <c r="B99" s="18" t="s">
        <v>133</v>
      </c>
      <c r="D99" s="50">
        <f>'Cash Flow Data'!L29</f>
        <v>404</v>
      </c>
      <c r="E99" s="50">
        <f>'Cash Flow Data'!M29</f>
        <v>312</v>
      </c>
      <c r="F99" s="50">
        <f>'Cash Flow Data'!N29</f>
        <v>293</v>
      </c>
      <c r="G99" s="50">
        <f>G6*G44</f>
        <v>0</v>
      </c>
      <c r="H99" s="50">
        <f>H6*H44</f>
        <v>0</v>
      </c>
      <c r="I99" s="50">
        <f>I6*I44</f>
        <v>0</v>
      </c>
    </row>
    <row r="100" spans="2:9" outlineLevel="1" x14ac:dyDescent="0.3">
      <c r="B100" s="51" t="s">
        <v>134</v>
      </c>
      <c r="C100" s="52"/>
      <c r="D100" s="53">
        <f t="shared" ref="D100:I100" si="19">SUM(D93:D99)</f>
        <v>-11098</v>
      </c>
      <c r="E100" s="53">
        <f t="shared" si="19"/>
        <v>-7002</v>
      </c>
      <c r="F100" s="53">
        <f t="shared" si="19"/>
        <v>-21387</v>
      </c>
      <c r="G100" s="53">
        <f t="shared" si="19"/>
        <v>-5509.7970231527961</v>
      </c>
      <c r="H100" s="53">
        <f t="shared" si="19"/>
        <v>-6377.5095717884051</v>
      </c>
      <c r="I100" s="53">
        <f t="shared" si="19"/>
        <v>-8229.8732201251605</v>
      </c>
    </row>
    <row r="101" spans="2:9" ht="3.75" customHeight="1" outlineLevel="1" x14ac:dyDescent="0.3">
      <c r="D101" s="50"/>
      <c r="E101" s="50"/>
      <c r="F101" s="50"/>
      <c r="G101" s="50"/>
      <c r="H101" s="50"/>
      <c r="I101" s="50"/>
    </row>
    <row r="102" spans="2:9" ht="15" customHeight="1" outlineLevel="1" x14ac:dyDescent="0.3">
      <c r="B102" s="55" t="s">
        <v>135</v>
      </c>
      <c r="C102" s="56"/>
      <c r="D102" s="57">
        <f t="shared" ref="D102:I102" si="20">D77+D90+D100</f>
        <v>-1667</v>
      </c>
      <c r="E102" s="57">
        <f t="shared" si="20"/>
        <v>4731</v>
      </c>
      <c r="F102" s="57">
        <f t="shared" si="20"/>
        <v>4723</v>
      </c>
      <c r="G102" s="57">
        <f t="shared" si="20"/>
        <v>8525.428658602852</v>
      </c>
      <c r="H102" s="57">
        <f t="shared" si="20"/>
        <v>15314.631747452002</v>
      </c>
      <c r="I102" s="57">
        <f t="shared" si="20"/>
        <v>14827.198453200757</v>
      </c>
    </row>
    <row r="103" spans="2:9" ht="15" customHeight="1" x14ac:dyDescent="0.3"/>
    <row r="104" spans="2:9" x14ac:dyDescent="0.3">
      <c r="B104" s="2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42"/>
  <sheetViews>
    <sheetView showGridLines="0" zoomScaleNormal="100" workbookViewId="0">
      <selection activeCell="F20" sqref="F20"/>
    </sheetView>
  </sheetViews>
  <sheetFormatPr defaultColWidth="8.6640625" defaultRowHeight="14.4" x14ac:dyDescent="0.3"/>
  <cols>
    <col min="1" max="1" width="1.88671875" customWidth="1"/>
    <col min="2" max="2" width="14.77734375" customWidth="1"/>
    <col min="3" max="3" width="11.6640625" customWidth="1"/>
    <col min="4" max="4" width="12.33203125" customWidth="1"/>
    <col min="5" max="5" width="12.5546875" customWidth="1"/>
    <col min="6" max="6" width="12.33203125" customWidth="1"/>
    <col min="7" max="8" width="14.6640625" customWidth="1"/>
    <col min="9" max="9" width="13.109375" customWidth="1"/>
    <col min="10" max="11" width="18.33203125" customWidth="1"/>
  </cols>
  <sheetData>
    <row r="2" spans="2:11" ht="25.5" customHeight="1" x14ac:dyDescent="0.5">
      <c r="B2" s="58" t="s">
        <v>136</v>
      </c>
      <c r="C2" s="58"/>
      <c r="D2" s="58"/>
      <c r="E2" s="58"/>
      <c r="F2" s="58"/>
      <c r="G2" s="58"/>
      <c r="H2" s="58"/>
      <c r="I2" s="58"/>
      <c r="J2" s="58"/>
      <c r="K2" s="58"/>
    </row>
    <row r="4" spans="2:11" x14ac:dyDescent="0.3">
      <c r="B4" s="59" t="s">
        <v>137</v>
      </c>
    </row>
    <row r="6" spans="2:11" x14ac:dyDescent="0.3">
      <c r="B6" s="2" t="s">
        <v>138</v>
      </c>
    </row>
    <row r="7" spans="2:11" x14ac:dyDescent="0.3">
      <c r="B7" s="199"/>
      <c r="C7" s="199"/>
      <c r="D7" s="199"/>
      <c r="E7" s="199"/>
      <c r="F7" s="199"/>
      <c r="G7" s="199"/>
      <c r="H7" s="199" t="s">
        <v>139</v>
      </c>
      <c r="I7" s="199" t="s">
        <v>140</v>
      </c>
      <c r="J7" s="199" t="s">
        <v>141</v>
      </c>
      <c r="K7" s="199" t="s">
        <v>142</v>
      </c>
    </row>
    <row r="8" spans="2:11" ht="16.5" customHeight="1" x14ac:dyDescent="0.3">
      <c r="B8" s="200" t="s">
        <v>143</v>
      </c>
      <c r="C8" s="200"/>
      <c r="D8" s="200" t="s">
        <v>144</v>
      </c>
      <c r="E8" s="200" t="s">
        <v>145</v>
      </c>
      <c r="F8" s="200" t="s">
        <v>146</v>
      </c>
      <c r="G8" s="200" t="s">
        <v>147</v>
      </c>
      <c r="H8" s="200" t="s">
        <v>148</v>
      </c>
      <c r="I8" s="200" t="s">
        <v>149</v>
      </c>
      <c r="J8" s="200" t="s">
        <v>150</v>
      </c>
      <c r="K8" s="200" t="s">
        <v>151</v>
      </c>
    </row>
    <row r="9" spans="2:11" ht="15" customHeight="1" x14ac:dyDescent="0.3"/>
    <row r="10" spans="2:11" x14ac:dyDescent="0.3">
      <c r="B10" s="60" t="s">
        <v>152</v>
      </c>
      <c r="C10" s="61"/>
      <c r="D10" s="61" t="s">
        <v>153</v>
      </c>
      <c r="E10" s="62">
        <f>BETA_comps!G5</f>
        <v>99310</v>
      </c>
      <c r="F10" s="62">
        <f>BETA_comps!E5</f>
        <v>311708.34999999998</v>
      </c>
      <c r="G10" s="63">
        <v>0.25</v>
      </c>
      <c r="H10" s="64">
        <f>E10/F10</f>
        <v>0.31859910072989706</v>
      </c>
      <c r="I10" s="64">
        <f>E10/(F10+E10)</f>
        <v>0.2416193826869287</v>
      </c>
      <c r="J10" s="65">
        <v>0.93700000000000006</v>
      </c>
      <c r="K10" s="66">
        <f>J10/(1+(1-G10)*H10)</f>
        <v>0.75628597609187265</v>
      </c>
    </row>
    <row r="11" spans="2:11" x14ac:dyDescent="0.3">
      <c r="B11" s="60" t="s">
        <v>154</v>
      </c>
      <c r="C11" s="61"/>
      <c r="D11" s="61" t="s">
        <v>153</v>
      </c>
      <c r="E11" s="62">
        <f>BETA_comps!G6</f>
        <v>92381.68</v>
      </c>
      <c r="F11" s="62">
        <f>BETA_comps!E6</f>
        <v>244528.39</v>
      </c>
      <c r="G11" s="63">
        <v>0.25</v>
      </c>
      <c r="H11" s="64">
        <f>E11/F11</f>
        <v>0.37779531448270687</v>
      </c>
      <c r="I11" s="64">
        <f>E11/(F11+E11)</f>
        <v>0.27420278651807584</v>
      </c>
      <c r="J11" s="65">
        <f>'BETA-Regression'!L6</f>
        <v>1.1855026936845501</v>
      </c>
      <c r="K11" s="66">
        <f>J11/(1+(1-G11)*H11)</f>
        <v>0.92375886539186824</v>
      </c>
    </row>
    <row r="12" spans="2:11" x14ac:dyDescent="0.3">
      <c r="B12" s="60" t="s">
        <v>155</v>
      </c>
      <c r="C12" s="61"/>
      <c r="D12" s="61" t="s">
        <v>153</v>
      </c>
      <c r="E12" s="62">
        <f>BETA_comps!G7</f>
        <v>22609.55</v>
      </c>
      <c r="F12" s="62">
        <f>BETA_comps!E7</f>
        <v>116249.42</v>
      </c>
      <c r="G12" s="63">
        <v>0.25</v>
      </c>
      <c r="H12" s="64">
        <f>E12/F12</f>
        <v>0.19449172305547846</v>
      </c>
      <c r="I12" s="64">
        <f>E12/(F12+E12)</f>
        <v>0.16282383485921004</v>
      </c>
      <c r="J12" s="65">
        <v>1.22</v>
      </c>
      <c r="K12" s="66">
        <f>J12/(1+(1-G12)*H12)</f>
        <v>1.0646943246967544</v>
      </c>
    </row>
    <row r="13" spans="2:11" x14ac:dyDescent="0.3">
      <c r="B13" s="60" t="s">
        <v>156</v>
      </c>
      <c r="C13" s="61"/>
      <c r="D13" s="61" t="s">
        <v>153</v>
      </c>
      <c r="E13" s="62">
        <f>BETA_comps!G8</f>
        <v>31927.71</v>
      </c>
      <c r="F13" s="62">
        <f>BETA_comps!E8</f>
        <v>74782.960000000006</v>
      </c>
      <c r="G13" s="63">
        <v>0.25</v>
      </c>
      <c r="H13" s="64">
        <f>E13/F13</f>
        <v>0.42693830252239273</v>
      </c>
      <c r="I13" s="64">
        <f>E13/(F13+E13)</f>
        <v>0.2991988523734318</v>
      </c>
      <c r="J13" s="65">
        <v>1.4</v>
      </c>
      <c r="K13" s="66">
        <f>J13/(1+(1-G13)*H13)</f>
        <v>1.0604423934600402</v>
      </c>
    </row>
    <row r="14" spans="2:11" x14ac:dyDescent="0.3">
      <c r="B14" s="60" t="s">
        <v>157</v>
      </c>
      <c r="C14" s="61"/>
      <c r="D14" s="61" t="s">
        <v>153</v>
      </c>
      <c r="E14" s="62">
        <f>BETA_comps!G9</f>
        <v>7460.33</v>
      </c>
      <c r="F14" s="62">
        <f>BETA_comps!E9</f>
        <v>58525.599999999999</v>
      </c>
      <c r="G14" s="63">
        <v>0.25</v>
      </c>
      <c r="H14" s="64">
        <f>E14/F14</f>
        <v>0.12747122626679608</v>
      </c>
      <c r="I14" s="64">
        <f>E14/(F14+E14)</f>
        <v>0.11305940523987464</v>
      </c>
      <c r="J14" s="65">
        <v>0.91900000000000004</v>
      </c>
      <c r="K14" s="66">
        <f>J14/(1+(1-G14)*H14)</f>
        <v>0.83880716642118625</v>
      </c>
    </row>
    <row r="16" spans="2:11" x14ac:dyDescent="0.3">
      <c r="F16" s="29" t="s">
        <v>158</v>
      </c>
      <c r="G16" s="67">
        <f>AVERAGE(G10:G14)</f>
        <v>0.25</v>
      </c>
      <c r="H16" s="68">
        <f>AVERAGE(H10:H14)</f>
        <v>0.28905913341145423</v>
      </c>
      <c r="I16" s="68">
        <f>AVERAGE(I10:I14)</f>
        <v>0.21818085233550422</v>
      </c>
      <c r="J16" s="69">
        <f>AVERAGE(J10:J14)</f>
        <v>1.1323005387369101</v>
      </c>
      <c r="K16" s="69">
        <f>AVERAGE(K10:K14)</f>
        <v>0.92879774521234426</v>
      </c>
    </row>
    <row r="17" spans="2:11" x14ac:dyDescent="0.3">
      <c r="F17" s="70" t="s">
        <v>159</v>
      </c>
      <c r="G17" s="71">
        <f>MEDIAN(G10:G14)</f>
        <v>0.25</v>
      </c>
      <c r="H17" s="72">
        <f>MEDIAN(H10:H14)</f>
        <v>0.31859910072989706</v>
      </c>
      <c r="I17" s="72">
        <f>MEDIAN(I10:I14)</f>
        <v>0.2416193826869287</v>
      </c>
      <c r="J17" s="73">
        <f>MEDIAN(J10:J14)</f>
        <v>1.1855026936845501</v>
      </c>
      <c r="K17" s="73">
        <f>MEDIAN(K10:K14)</f>
        <v>0.92375886539186824</v>
      </c>
    </row>
    <row r="19" spans="2:11" x14ac:dyDescent="0.3">
      <c r="B19" s="195" t="s">
        <v>160</v>
      </c>
      <c r="C19" s="195"/>
      <c r="D19" s="196"/>
      <c r="E19" s="196"/>
      <c r="G19" s="195" t="s">
        <v>160</v>
      </c>
      <c r="H19" s="196"/>
      <c r="I19" s="196"/>
      <c r="J19" s="196"/>
      <c r="K19" s="196"/>
    </row>
    <row r="21" spans="2:11" x14ac:dyDescent="0.3">
      <c r="B21" t="s">
        <v>161</v>
      </c>
      <c r="E21" s="63">
        <f>7167.06/92381.68</f>
        <v>7.7580966269502796E-2</v>
      </c>
      <c r="G21" t="s">
        <v>162</v>
      </c>
      <c r="K21" s="74">
        <v>6.8659999999999999E-2</v>
      </c>
    </row>
    <row r="22" spans="2:11" x14ac:dyDescent="0.3">
      <c r="B22" t="s">
        <v>163</v>
      </c>
      <c r="E22" s="63">
        <v>0.25</v>
      </c>
      <c r="G22" t="s">
        <v>164</v>
      </c>
      <c r="K22" s="12">
        <f>RM!G8-WACC!K21</f>
        <v>8.2832307692307705E-2</v>
      </c>
    </row>
    <row r="23" spans="2:11" ht="15.75" customHeight="1" x14ac:dyDescent="0.3">
      <c r="B23" s="75" t="s">
        <v>165</v>
      </c>
      <c r="C23" s="75"/>
      <c r="D23" s="75"/>
      <c r="E23" s="76">
        <f>E21*(1-E22)</f>
        <v>5.8185724702127101E-2</v>
      </c>
      <c r="G23" t="s">
        <v>166</v>
      </c>
      <c r="K23" s="43">
        <f>K31</f>
        <v>1.1444904232457078</v>
      </c>
    </row>
    <row r="24" spans="2:11" x14ac:dyDescent="0.3">
      <c r="G24" s="75" t="s">
        <v>167</v>
      </c>
      <c r="H24" s="75"/>
      <c r="I24" s="75"/>
      <c r="J24" s="75"/>
      <c r="K24" s="77">
        <f>K21+(K22*K23)</f>
        <v>0.16346078288918794</v>
      </c>
    </row>
    <row r="26" spans="2:11" x14ac:dyDescent="0.3">
      <c r="B26" s="195" t="s">
        <v>168</v>
      </c>
      <c r="C26" s="195"/>
      <c r="D26" s="196"/>
      <c r="E26" s="196"/>
      <c r="G26" s="195" t="s">
        <v>169</v>
      </c>
      <c r="H26" s="195"/>
      <c r="I26" s="196"/>
      <c r="J26" s="196"/>
      <c r="K26" s="196"/>
    </row>
    <row r="27" spans="2:11" x14ac:dyDescent="0.3">
      <c r="G27" t="s">
        <v>170</v>
      </c>
    </row>
    <row r="28" spans="2:11" x14ac:dyDescent="0.3">
      <c r="D28" s="78" t="s">
        <v>171</v>
      </c>
      <c r="E28" s="201" t="s">
        <v>172</v>
      </c>
      <c r="G28" t="s">
        <v>173</v>
      </c>
      <c r="K28" s="43">
        <f>K17</f>
        <v>0.92375886539186824</v>
      </c>
    </row>
    <row r="29" spans="2:11" x14ac:dyDescent="0.3">
      <c r="B29" t="s">
        <v>145</v>
      </c>
      <c r="C29" s="62">
        <f>E11</f>
        <v>92381.68</v>
      </c>
      <c r="D29" s="36">
        <f>C29/$C$31</f>
        <v>0.27420278651807584</v>
      </c>
      <c r="E29" s="202">
        <f>I17</f>
        <v>0.2416193826869287</v>
      </c>
      <c r="G29" t="s">
        <v>174</v>
      </c>
      <c r="K29" s="12">
        <f>E33</f>
        <v>0.31859910072989706</v>
      </c>
    </row>
    <row r="30" spans="2:11" x14ac:dyDescent="0.3">
      <c r="B30" t="s">
        <v>175</v>
      </c>
      <c r="C30" s="62">
        <f>F11</f>
        <v>244528.39</v>
      </c>
      <c r="D30" s="36">
        <f>C30/$C$31</f>
        <v>0.72579721348192416</v>
      </c>
      <c r="E30" s="203">
        <f>E31-E29</f>
        <v>0.75838061731307127</v>
      </c>
      <c r="G30" t="s">
        <v>163</v>
      </c>
      <c r="K30" s="79">
        <f>E22</f>
        <v>0.25</v>
      </c>
    </row>
    <row r="31" spans="2:11" x14ac:dyDescent="0.3">
      <c r="B31" s="75" t="s">
        <v>176</v>
      </c>
      <c r="C31" s="80">
        <f>SUM(C29:C30)</f>
        <v>336910.07</v>
      </c>
      <c r="D31" s="81">
        <f>C31/$C$31</f>
        <v>1</v>
      </c>
      <c r="E31" s="204">
        <v>1</v>
      </c>
      <c r="G31" s="75" t="s">
        <v>169</v>
      </c>
      <c r="H31" s="75"/>
      <c r="I31" s="75"/>
      <c r="J31" s="75"/>
      <c r="K31" s="82">
        <f>K28*(1+(1-K30)*K29)</f>
        <v>1.1444904232457078</v>
      </c>
    </row>
    <row r="33" spans="2:11" x14ac:dyDescent="0.3">
      <c r="B33" t="s">
        <v>177</v>
      </c>
      <c r="D33" s="83">
        <f>D29/D30</f>
        <v>0.37779531448270681</v>
      </c>
      <c r="E33" s="83">
        <f>E29/E30</f>
        <v>0.31859910072989706</v>
      </c>
      <c r="G33" s="157" t="s">
        <v>178</v>
      </c>
      <c r="H33" s="157"/>
      <c r="I33" s="158"/>
      <c r="J33" s="158"/>
      <c r="K33" s="158"/>
    </row>
    <row r="34" spans="2:11" x14ac:dyDescent="0.3">
      <c r="D34" s="83"/>
      <c r="E34" s="83"/>
      <c r="G34" s="29"/>
      <c r="H34" s="29"/>
      <c r="I34" s="30"/>
      <c r="J34" s="30"/>
      <c r="K34" s="30"/>
    </row>
    <row r="35" spans="2:11" x14ac:dyDescent="0.3">
      <c r="G35" t="s">
        <v>179</v>
      </c>
      <c r="J35" s="84"/>
      <c r="K35" s="85">
        <f>K24</f>
        <v>0.16346078288918794</v>
      </c>
    </row>
    <row r="36" spans="2:11" x14ac:dyDescent="0.3">
      <c r="B36" s="86" t="s">
        <v>180</v>
      </c>
      <c r="G36" t="s">
        <v>181</v>
      </c>
      <c r="K36" s="12">
        <f>E30</f>
        <v>0.75838061731307127</v>
      </c>
    </row>
    <row r="37" spans="2:11" x14ac:dyDescent="0.3">
      <c r="B37" s="87" t="s">
        <v>182</v>
      </c>
      <c r="J37" s="12"/>
      <c r="K37" s="12"/>
    </row>
    <row r="38" spans="2:11" x14ac:dyDescent="0.3">
      <c r="B38" s="87" t="s">
        <v>183</v>
      </c>
      <c r="G38" t="s">
        <v>184</v>
      </c>
      <c r="K38" s="36">
        <f>E23</f>
        <v>5.8185724702127101E-2</v>
      </c>
    </row>
    <row r="39" spans="2:11" x14ac:dyDescent="0.3">
      <c r="B39" s="87" t="s">
        <v>185</v>
      </c>
      <c r="G39" t="s">
        <v>186</v>
      </c>
      <c r="K39" s="12">
        <f>E29</f>
        <v>0.2416193826869287</v>
      </c>
    </row>
    <row r="40" spans="2:11" x14ac:dyDescent="0.3">
      <c r="B40" s="87" t="s">
        <v>187</v>
      </c>
    </row>
    <row r="41" spans="2:11" ht="15" thickBot="1" x14ac:dyDescent="0.35">
      <c r="G41" s="197" t="s">
        <v>188</v>
      </c>
      <c r="H41" s="197"/>
      <c r="I41" s="197"/>
      <c r="J41" s="197"/>
      <c r="K41" s="198">
        <f>(K35*K36)+(K38*K39)</f>
        <v>0.13802428831769981</v>
      </c>
    </row>
    <row r="42" spans="2:11" ht="15" thickTop="1" x14ac:dyDescent="0.3"/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"/>
  <sheetViews>
    <sheetView zoomScaleNormal="100" workbookViewId="0"/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W110"/>
  <sheetViews>
    <sheetView showGridLines="0" zoomScale="69" zoomScaleNormal="91" workbookViewId="0">
      <selection activeCell="Q6" sqref="Q6"/>
    </sheetView>
  </sheetViews>
  <sheetFormatPr defaultColWidth="8.6640625" defaultRowHeight="14.4" x14ac:dyDescent="0.3"/>
  <cols>
    <col min="1" max="1" width="1.88671875" customWidth="1"/>
    <col min="2" max="2" width="11.88671875" customWidth="1"/>
    <col min="3" max="3" width="14.88671875" customWidth="1"/>
    <col min="4" max="4" width="13" customWidth="1"/>
    <col min="7" max="7" width="12" customWidth="1"/>
    <col min="8" max="8" width="15.109375" customWidth="1"/>
    <col min="9" max="9" width="13" customWidth="1"/>
    <col min="11" max="11" width="18.21875" customWidth="1"/>
    <col min="15" max="15" width="17.44140625" customWidth="1"/>
    <col min="16" max="16" width="13.109375" customWidth="1"/>
    <col min="17" max="17" width="13.77734375" customWidth="1"/>
    <col min="18" max="18" width="13.109375" customWidth="1"/>
    <col min="19" max="19" width="12.44140625" customWidth="1"/>
    <col min="20" max="20" width="13.109375" customWidth="1"/>
    <col min="21" max="21" width="12.44140625" customWidth="1"/>
    <col min="22" max="22" width="13.109375" customWidth="1"/>
    <col min="23" max="23" width="12.44140625" customWidth="1"/>
  </cols>
  <sheetData>
    <row r="2" spans="2:23" x14ac:dyDescent="0.3">
      <c r="B2" s="89" t="s">
        <v>189</v>
      </c>
      <c r="C2" s="89"/>
      <c r="D2" s="89"/>
      <c r="E2" s="89"/>
    </row>
    <row r="3" spans="2:23" x14ac:dyDescent="0.3">
      <c r="B3" s="90"/>
      <c r="C3" s="90"/>
      <c r="D3" s="90"/>
      <c r="E3" s="90"/>
    </row>
    <row r="4" spans="2:23" ht="14.25" customHeight="1" x14ac:dyDescent="0.3">
      <c r="B4" s="205" t="s">
        <v>190</v>
      </c>
      <c r="C4" s="205"/>
      <c r="D4" s="205"/>
      <c r="E4" s="90"/>
      <c r="G4" s="205" t="s">
        <v>191</v>
      </c>
      <c r="H4" s="205"/>
      <c r="I4" s="205"/>
      <c r="J4" s="90"/>
      <c r="K4" s="206" t="s">
        <v>192</v>
      </c>
      <c r="L4" s="206"/>
    </row>
    <row r="5" spans="2:23" x14ac:dyDescent="0.3">
      <c r="B5" s="91" t="s">
        <v>193</v>
      </c>
      <c r="C5" s="92" t="s">
        <v>194</v>
      </c>
      <c r="D5" s="93" t="s">
        <v>195</v>
      </c>
      <c r="G5" s="94" t="s">
        <v>193</v>
      </c>
      <c r="H5" s="95" t="s">
        <v>194</v>
      </c>
      <c r="I5" s="96" t="s">
        <v>195</v>
      </c>
    </row>
    <row r="6" spans="2:23" x14ac:dyDescent="0.3">
      <c r="B6" s="97">
        <v>44378</v>
      </c>
      <c r="C6" s="98">
        <v>123.69</v>
      </c>
      <c r="D6" s="99"/>
      <c r="G6" s="100">
        <v>44378</v>
      </c>
      <c r="H6" s="101">
        <v>15763.05</v>
      </c>
      <c r="I6" s="99"/>
      <c r="K6" s="54" t="s">
        <v>169</v>
      </c>
      <c r="L6" s="43">
        <f>O6</f>
        <v>1.1855026936845501</v>
      </c>
      <c r="N6" s="193" t="s">
        <v>196</v>
      </c>
      <c r="O6" s="194">
        <f>P29</f>
        <v>1.1855026936845501</v>
      </c>
    </row>
    <row r="7" spans="2:23" x14ac:dyDescent="0.3">
      <c r="B7" s="102">
        <f t="shared" ref="B7:B38" si="0">EDATE(B6,1)</f>
        <v>44409</v>
      </c>
      <c r="C7" s="98">
        <v>125.06</v>
      </c>
      <c r="D7" s="35">
        <f t="shared" ref="D7:D38" si="1">C7/C6-1</f>
        <v>1.1076077289999153E-2</v>
      </c>
      <c r="G7" s="103">
        <f t="shared" ref="G7:G38" si="2">EDATE(G6,1)</f>
        <v>44409</v>
      </c>
      <c r="H7" s="101">
        <v>17132.2</v>
      </c>
      <c r="I7" s="35">
        <f t="shared" ref="I7:I38" si="3">H7/H6-1</f>
        <v>8.6858190515160638E-2</v>
      </c>
      <c r="K7" s="18" t="s">
        <v>197</v>
      </c>
      <c r="L7" s="12">
        <v>0.75</v>
      </c>
    </row>
    <row r="8" spans="2:23" x14ac:dyDescent="0.3">
      <c r="B8" s="102">
        <f t="shared" si="0"/>
        <v>44440</v>
      </c>
      <c r="C8" s="98">
        <v>111.15</v>
      </c>
      <c r="D8" s="35">
        <f t="shared" si="1"/>
        <v>-0.11122661122661115</v>
      </c>
      <c r="G8" s="103">
        <f t="shared" si="2"/>
        <v>44440</v>
      </c>
      <c r="H8" s="101">
        <v>17618.150000000001</v>
      </c>
      <c r="I8" s="35">
        <f t="shared" si="3"/>
        <v>2.8364716732235173E-2</v>
      </c>
      <c r="K8" s="18"/>
    </row>
    <row r="9" spans="2:23" x14ac:dyDescent="0.3">
      <c r="B9" s="102">
        <f t="shared" si="0"/>
        <v>44470</v>
      </c>
      <c r="C9" s="98">
        <v>113.48</v>
      </c>
      <c r="D9" s="35">
        <f t="shared" si="1"/>
        <v>2.0962663067926268E-2</v>
      </c>
      <c r="G9" s="103">
        <f t="shared" si="2"/>
        <v>44470</v>
      </c>
      <c r="H9" s="101">
        <v>17671.650000000001</v>
      </c>
      <c r="I9" s="35">
        <f t="shared" si="3"/>
        <v>3.0366411910445201E-3</v>
      </c>
      <c r="K9" s="54" t="s">
        <v>198</v>
      </c>
      <c r="L9" s="43">
        <v>1</v>
      </c>
    </row>
    <row r="10" spans="2:23" x14ac:dyDescent="0.3">
      <c r="B10" s="102">
        <f t="shared" si="0"/>
        <v>44501</v>
      </c>
      <c r="C10" s="98">
        <v>92.38</v>
      </c>
      <c r="D10" s="35">
        <f t="shared" si="1"/>
        <v>-0.18593584772647165</v>
      </c>
      <c r="G10" s="103">
        <f t="shared" si="2"/>
        <v>44501</v>
      </c>
      <c r="H10" s="101">
        <v>16983.2</v>
      </c>
      <c r="I10" s="35">
        <f t="shared" si="3"/>
        <v>-3.8957878862471818E-2</v>
      </c>
      <c r="K10" s="18" t="s">
        <v>199</v>
      </c>
      <c r="L10" s="36">
        <v>0.25</v>
      </c>
    </row>
    <row r="11" spans="2:23" x14ac:dyDescent="0.3">
      <c r="B11" s="102">
        <f t="shared" si="0"/>
        <v>44531</v>
      </c>
      <c r="C11" s="98">
        <v>95.85</v>
      </c>
      <c r="D11" s="35">
        <f t="shared" si="1"/>
        <v>3.7562242909720656E-2</v>
      </c>
      <c r="G11" s="103">
        <f t="shared" si="2"/>
        <v>44531</v>
      </c>
      <c r="H11" s="101">
        <v>17354.05</v>
      </c>
      <c r="I11" s="35">
        <f t="shared" si="3"/>
        <v>2.1836285270149247E-2</v>
      </c>
      <c r="K11" s="18"/>
    </row>
    <row r="12" spans="2:23" x14ac:dyDescent="0.3">
      <c r="B12" s="102">
        <f t="shared" si="0"/>
        <v>44562</v>
      </c>
      <c r="C12" s="98">
        <v>93.61</v>
      </c>
      <c r="D12" s="35">
        <f t="shared" si="1"/>
        <v>-2.336984872196135E-2</v>
      </c>
      <c r="G12" s="103">
        <f t="shared" si="2"/>
        <v>44562</v>
      </c>
      <c r="H12" s="101">
        <v>17339.849999999999</v>
      </c>
      <c r="I12" s="35">
        <f t="shared" si="3"/>
        <v>-8.1825279977876253E-4</v>
      </c>
      <c r="K12" s="104" t="s">
        <v>200</v>
      </c>
      <c r="L12" s="66">
        <f>(L6*L7)+(L9*L10)</f>
        <v>1.1391270202634125</v>
      </c>
      <c r="O12" s="158" t="s">
        <v>201</v>
      </c>
      <c r="P12" s="158"/>
      <c r="Q12" s="158"/>
      <c r="R12" s="158"/>
      <c r="S12" s="158"/>
      <c r="T12" s="158"/>
      <c r="U12" s="158"/>
      <c r="V12" s="158"/>
      <c r="W12" s="158"/>
    </row>
    <row r="13" spans="2:23" ht="15" customHeight="1" x14ac:dyDescent="0.3">
      <c r="B13" s="102">
        <f t="shared" si="0"/>
        <v>44593</v>
      </c>
      <c r="C13" s="98">
        <v>105.27</v>
      </c>
      <c r="D13" s="35">
        <f t="shared" si="1"/>
        <v>0.12455934195064633</v>
      </c>
      <c r="G13" s="103">
        <f t="shared" si="2"/>
        <v>44593</v>
      </c>
      <c r="H13" s="101">
        <v>16793.900000000001</v>
      </c>
      <c r="I13" s="35">
        <f t="shared" si="3"/>
        <v>-3.1485278131010208E-2</v>
      </c>
    </row>
    <row r="14" spans="2:23" x14ac:dyDescent="0.3">
      <c r="B14" s="102">
        <f t="shared" si="0"/>
        <v>44621</v>
      </c>
      <c r="C14" s="98">
        <v>112.73</v>
      </c>
      <c r="D14" s="35">
        <f t="shared" si="1"/>
        <v>7.0865393749406369E-2</v>
      </c>
      <c r="G14" s="103">
        <f t="shared" si="2"/>
        <v>44621</v>
      </c>
      <c r="H14" s="101">
        <v>17464.75</v>
      </c>
      <c r="I14" s="35">
        <f t="shared" si="3"/>
        <v>3.9946051840251462E-2</v>
      </c>
      <c r="O14" s="207" t="s">
        <v>202</v>
      </c>
      <c r="P14" s="207"/>
    </row>
    <row r="15" spans="2:23" x14ac:dyDescent="0.3">
      <c r="B15" s="102">
        <f t="shared" si="0"/>
        <v>44652</v>
      </c>
      <c r="C15" s="98">
        <v>109.61</v>
      </c>
      <c r="D15" s="35">
        <f t="shared" si="1"/>
        <v>-2.7676749756054275E-2</v>
      </c>
      <c r="G15" s="103">
        <f t="shared" si="2"/>
        <v>44652</v>
      </c>
      <c r="H15" s="101">
        <v>17102.55</v>
      </c>
      <c r="I15" s="35">
        <f t="shared" si="3"/>
        <v>-2.0738916961307807E-2</v>
      </c>
      <c r="O15" t="s">
        <v>203</v>
      </c>
      <c r="P15">
        <v>0.52279922214026597</v>
      </c>
    </row>
    <row r="16" spans="2:23" x14ac:dyDescent="0.3">
      <c r="B16" s="102">
        <f t="shared" si="0"/>
        <v>44682</v>
      </c>
      <c r="C16" s="98">
        <v>91.03</v>
      </c>
      <c r="D16" s="35">
        <f t="shared" si="1"/>
        <v>-0.16951008119697109</v>
      </c>
      <c r="G16" s="103">
        <f t="shared" si="2"/>
        <v>44682</v>
      </c>
      <c r="H16" s="101">
        <v>16584.55</v>
      </c>
      <c r="I16" s="35">
        <f t="shared" si="3"/>
        <v>-3.0287881046978327E-2</v>
      </c>
      <c r="O16" t="s">
        <v>204</v>
      </c>
      <c r="P16">
        <v>0.27331902667046698</v>
      </c>
    </row>
    <row r="17" spans="2:23" x14ac:dyDescent="0.3">
      <c r="B17" s="102">
        <f t="shared" si="0"/>
        <v>44713</v>
      </c>
      <c r="C17" s="98">
        <v>74.77</v>
      </c>
      <c r="D17" s="35">
        <f t="shared" si="1"/>
        <v>-0.17862243216522034</v>
      </c>
      <c r="G17" s="103">
        <f t="shared" si="2"/>
        <v>44713</v>
      </c>
      <c r="H17" s="101">
        <v>15780.25</v>
      </c>
      <c r="I17" s="35">
        <f t="shared" si="3"/>
        <v>-4.8496944445281853E-2</v>
      </c>
      <c r="O17" t="s">
        <v>205</v>
      </c>
      <c r="P17">
        <v>0.26079004437168202</v>
      </c>
    </row>
    <row r="18" spans="2:23" x14ac:dyDescent="0.3">
      <c r="B18" s="102">
        <f t="shared" si="0"/>
        <v>44743</v>
      </c>
      <c r="C18" s="98">
        <v>97.8</v>
      </c>
      <c r="D18" s="35">
        <f t="shared" si="1"/>
        <v>0.30801123445232048</v>
      </c>
      <c r="G18" s="103">
        <f t="shared" si="2"/>
        <v>44743</v>
      </c>
      <c r="H18" s="101">
        <v>17158.25</v>
      </c>
      <c r="I18" s="35">
        <f t="shared" si="3"/>
        <v>8.7324345305048956E-2</v>
      </c>
      <c r="O18" t="s">
        <v>206</v>
      </c>
      <c r="P18">
        <v>7.6312042301963895E-2</v>
      </c>
    </row>
    <row r="19" spans="2:23" ht="15" customHeight="1" x14ac:dyDescent="0.3">
      <c r="B19" s="102">
        <f t="shared" si="0"/>
        <v>44774</v>
      </c>
      <c r="C19" s="98">
        <v>98.43</v>
      </c>
      <c r="D19" s="35">
        <f t="shared" si="1"/>
        <v>6.4417177914111168E-3</v>
      </c>
      <c r="G19" s="103">
        <f t="shared" si="2"/>
        <v>44774</v>
      </c>
      <c r="H19" s="101">
        <v>17759.3</v>
      </c>
      <c r="I19" s="35">
        <f t="shared" si="3"/>
        <v>3.5029796162195925E-2</v>
      </c>
      <c r="O19" s="105" t="s">
        <v>207</v>
      </c>
      <c r="P19" s="105">
        <v>60</v>
      </c>
    </row>
    <row r="20" spans="2:23" x14ac:dyDescent="0.3">
      <c r="B20" s="102">
        <f t="shared" si="0"/>
        <v>44805</v>
      </c>
      <c r="C20" s="98">
        <v>90.25</v>
      </c>
      <c r="D20" s="35">
        <f t="shared" si="1"/>
        <v>-8.3104744488469051E-2</v>
      </c>
      <c r="G20" s="103">
        <f t="shared" si="2"/>
        <v>44805</v>
      </c>
      <c r="H20" s="101">
        <v>17094.349999999999</v>
      </c>
      <c r="I20" s="35">
        <f t="shared" si="3"/>
        <v>-3.7442354146841383E-2</v>
      </c>
    </row>
    <row r="21" spans="2:23" ht="15" customHeight="1" x14ac:dyDescent="0.3">
      <c r="B21" s="102">
        <f t="shared" si="0"/>
        <v>44835</v>
      </c>
      <c r="C21" s="98">
        <v>92.3</v>
      </c>
      <c r="D21" s="35">
        <f t="shared" si="1"/>
        <v>2.2714681440443085E-2</v>
      </c>
      <c r="G21" s="103">
        <f t="shared" si="2"/>
        <v>44835</v>
      </c>
      <c r="H21" s="101">
        <v>18012.2</v>
      </c>
      <c r="I21" s="35">
        <f t="shared" si="3"/>
        <v>5.3693179325332796E-2</v>
      </c>
      <c r="O21" t="s">
        <v>208</v>
      </c>
    </row>
    <row r="22" spans="2:23" x14ac:dyDescent="0.3">
      <c r="B22" s="102">
        <f t="shared" si="0"/>
        <v>44866</v>
      </c>
      <c r="C22" s="98">
        <v>97.84</v>
      </c>
      <c r="D22" s="35">
        <f t="shared" si="1"/>
        <v>6.0021668472372669E-2</v>
      </c>
      <c r="G22" s="103">
        <f t="shared" si="2"/>
        <v>44866</v>
      </c>
      <c r="H22" s="101">
        <v>18758.349999999999</v>
      </c>
      <c r="I22" s="35">
        <f t="shared" si="3"/>
        <v>4.1424701035964295E-2</v>
      </c>
      <c r="O22" s="1"/>
      <c r="P22" s="1" t="s">
        <v>209</v>
      </c>
      <c r="Q22" s="1" t="s">
        <v>210</v>
      </c>
      <c r="R22" s="1" t="s">
        <v>211</v>
      </c>
      <c r="S22" s="1" t="s">
        <v>212</v>
      </c>
      <c r="T22" s="1" t="s">
        <v>213</v>
      </c>
    </row>
    <row r="23" spans="2:23" x14ac:dyDescent="0.3">
      <c r="B23" s="102">
        <f t="shared" si="0"/>
        <v>44896</v>
      </c>
      <c r="C23" s="98">
        <v>102.39</v>
      </c>
      <c r="D23" s="35">
        <f t="shared" si="1"/>
        <v>4.6504497138184719E-2</v>
      </c>
      <c r="G23" s="103">
        <f t="shared" si="2"/>
        <v>44896</v>
      </c>
      <c r="H23" s="101">
        <v>18105.3</v>
      </c>
      <c r="I23" s="35">
        <f t="shared" si="3"/>
        <v>-3.4813829574562805E-2</v>
      </c>
      <c r="O23" t="s">
        <v>214</v>
      </c>
      <c r="P23">
        <v>1</v>
      </c>
      <c r="Q23">
        <v>0.127039923292082</v>
      </c>
      <c r="R23">
        <v>0.127039923292082</v>
      </c>
      <c r="S23">
        <v>21.814942359442099</v>
      </c>
      <c r="T23">
        <v>1.8258534422802999E-5</v>
      </c>
    </row>
    <row r="24" spans="2:23" x14ac:dyDescent="0.3">
      <c r="B24" s="102">
        <f t="shared" si="0"/>
        <v>44927</v>
      </c>
      <c r="C24" s="98">
        <v>108.79</v>
      </c>
      <c r="D24" s="35">
        <f t="shared" si="1"/>
        <v>6.2506104111729632E-2</v>
      </c>
      <c r="G24" s="103">
        <f t="shared" si="2"/>
        <v>44927</v>
      </c>
      <c r="H24" s="101">
        <v>17662.150000000001</v>
      </c>
      <c r="I24" s="35">
        <f t="shared" si="3"/>
        <v>-2.4476258333195111E-2</v>
      </c>
      <c r="O24" t="s">
        <v>215</v>
      </c>
      <c r="P24">
        <v>58</v>
      </c>
      <c r="Q24">
        <v>0.33776461241721001</v>
      </c>
      <c r="R24">
        <v>5.8235278002967197E-3</v>
      </c>
    </row>
    <row r="25" spans="2:23" ht="15" customHeight="1" x14ac:dyDescent="0.3">
      <c r="B25" s="102">
        <f t="shared" si="0"/>
        <v>44958</v>
      </c>
      <c r="C25" s="98">
        <v>94.48</v>
      </c>
      <c r="D25" s="35">
        <f t="shared" si="1"/>
        <v>-0.13153782516775436</v>
      </c>
      <c r="G25" s="103">
        <f t="shared" si="2"/>
        <v>44958</v>
      </c>
      <c r="H25" s="101">
        <v>17303.95</v>
      </c>
      <c r="I25" s="35">
        <f t="shared" si="3"/>
        <v>-2.0280656658447582E-2</v>
      </c>
      <c r="O25" s="105" t="s">
        <v>34</v>
      </c>
      <c r="P25" s="105">
        <v>59</v>
      </c>
      <c r="Q25" s="105">
        <v>0.46480453570929198</v>
      </c>
      <c r="R25" s="105"/>
      <c r="S25" s="105"/>
      <c r="T25" s="105"/>
    </row>
    <row r="26" spans="2:23" ht="15" customHeight="1" x14ac:dyDescent="0.3">
      <c r="B26" s="102">
        <f t="shared" si="0"/>
        <v>44986</v>
      </c>
      <c r="C26" s="98">
        <v>94.98</v>
      </c>
      <c r="D26" s="35">
        <f t="shared" si="1"/>
        <v>5.2921253175275407E-3</v>
      </c>
      <c r="G26" s="103">
        <f t="shared" si="2"/>
        <v>44986</v>
      </c>
      <c r="H26" s="101">
        <v>17359.75</v>
      </c>
      <c r="I26" s="35">
        <f t="shared" si="3"/>
        <v>3.2246972512055549E-3</v>
      </c>
    </row>
    <row r="27" spans="2:23" x14ac:dyDescent="0.3">
      <c r="B27" s="102">
        <f t="shared" si="0"/>
        <v>45017</v>
      </c>
      <c r="C27" s="98">
        <v>98.11</v>
      </c>
      <c r="D27" s="35">
        <f t="shared" si="1"/>
        <v>3.2954306169719949E-2</v>
      </c>
      <c r="G27" s="103">
        <f t="shared" si="2"/>
        <v>45017</v>
      </c>
      <c r="H27" s="101">
        <v>18065</v>
      </c>
      <c r="I27" s="35">
        <f t="shared" si="3"/>
        <v>4.0625585045867663E-2</v>
      </c>
      <c r="O27" s="1"/>
      <c r="P27" s="1" t="s">
        <v>216</v>
      </c>
      <c r="Q27" s="1" t="s">
        <v>206</v>
      </c>
      <c r="R27" s="1" t="s">
        <v>217</v>
      </c>
      <c r="S27" s="1" t="s">
        <v>218</v>
      </c>
      <c r="T27" s="1" t="s">
        <v>219</v>
      </c>
      <c r="U27" s="1" t="s">
        <v>220</v>
      </c>
      <c r="V27" s="1" t="s">
        <v>221</v>
      </c>
      <c r="W27" s="1" t="s">
        <v>222</v>
      </c>
    </row>
    <row r="28" spans="2:23" x14ac:dyDescent="0.3">
      <c r="B28" s="102">
        <f t="shared" si="0"/>
        <v>45047</v>
      </c>
      <c r="C28" s="98">
        <v>96.16</v>
      </c>
      <c r="D28" s="35">
        <f t="shared" si="1"/>
        <v>-1.9875649780858207E-2</v>
      </c>
      <c r="G28" s="103">
        <f t="shared" si="2"/>
        <v>45047</v>
      </c>
      <c r="H28" s="101">
        <v>18534.400000000001</v>
      </c>
      <c r="I28" s="35">
        <f t="shared" si="3"/>
        <v>2.5983946858566309E-2</v>
      </c>
      <c r="O28" t="s">
        <v>223</v>
      </c>
      <c r="P28">
        <v>2.32902913004167E-3</v>
      </c>
      <c r="Q28">
        <v>1.00476408943177E-2</v>
      </c>
      <c r="R28">
        <v>0.231798603725858</v>
      </c>
      <c r="S28">
        <v>0.81751033049147603</v>
      </c>
      <c r="T28">
        <v>-1.7783509322526699E-2</v>
      </c>
      <c r="U28">
        <v>2.2441567582610001E-2</v>
      </c>
      <c r="V28">
        <v>-1.7783509322526699E-2</v>
      </c>
      <c r="W28">
        <v>2.2441567582610001E-2</v>
      </c>
    </row>
    <row r="29" spans="2:23" ht="15" customHeight="1" x14ac:dyDescent="0.3">
      <c r="B29" s="102">
        <f t="shared" si="0"/>
        <v>45078</v>
      </c>
      <c r="C29" s="98">
        <v>101.8</v>
      </c>
      <c r="D29" s="35">
        <f t="shared" si="1"/>
        <v>5.8652246256239549E-2</v>
      </c>
      <c r="G29" s="103">
        <f t="shared" si="2"/>
        <v>45078</v>
      </c>
      <c r="H29" s="101">
        <v>19189.05</v>
      </c>
      <c r="I29" s="35">
        <f t="shared" si="3"/>
        <v>3.5320808874309328E-2</v>
      </c>
      <c r="O29" s="105" t="s">
        <v>224</v>
      </c>
      <c r="P29" s="105">
        <v>1.1855026936845501</v>
      </c>
      <c r="Q29" s="105">
        <v>0.25381980738869497</v>
      </c>
      <c r="R29" s="105">
        <v>4.6706468887555701</v>
      </c>
      <c r="S29" s="105">
        <v>1.8258534422803198E-5</v>
      </c>
      <c r="T29" s="105">
        <v>0.67742714741221899</v>
      </c>
      <c r="U29" s="105">
        <v>1.69357823995687</v>
      </c>
      <c r="V29" s="105">
        <v>0.67742714741221899</v>
      </c>
      <c r="W29" s="105">
        <v>1.69357823995687</v>
      </c>
    </row>
    <row r="30" spans="2:23" x14ac:dyDescent="0.3">
      <c r="B30" s="102">
        <f t="shared" si="0"/>
        <v>45108</v>
      </c>
      <c r="C30" s="98">
        <v>115.58</v>
      </c>
      <c r="D30" s="35">
        <f t="shared" si="1"/>
        <v>0.13536345776031444</v>
      </c>
      <c r="G30" s="103">
        <f t="shared" si="2"/>
        <v>45108</v>
      </c>
      <c r="H30" s="101">
        <v>19753.8</v>
      </c>
      <c r="I30" s="35">
        <f t="shared" si="3"/>
        <v>2.9430847280089489E-2</v>
      </c>
    </row>
    <row r="31" spans="2:23" x14ac:dyDescent="0.3">
      <c r="B31" s="102">
        <f t="shared" si="0"/>
        <v>45139</v>
      </c>
      <c r="C31" s="98">
        <v>115.35</v>
      </c>
      <c r="D31" s="35">
        <f t="shared" si="1"/>
        <v>-1.9899636615331451E-3</v>
      </c>
      <c r="G31" s="103">
        <f t="shared" si="2"/>
        <v>45139</v>
      </c>
      <c r="H31" s="101">
        <v>19253.8</v>
      </c>
      <c r="I31" s="35">
        <f t="shared" si="3"/>
        <v>-2.5311585618969512E-2</v>
      </c>
    </row>
    <row r="32" spans="2:23" x14ac:dyDescent="0.3">
      <c r="B32" s="102">
        <f t="shared" si="0"/>
        <v>45170</v>
      </c>
      <c r="C32" s="98">
        <v>120.98</v>
      </c>
      <c r="D32" s="35">
        <f t="shared" si="1"/>
        <v>4.8807975726051334E-2</v>
      </c>
      <c r="G32" s="103">
        <f t="shared" si="2"/>
        <v>45170</v>
      </c>
      <c r="H32" s="101">
        <v>19638.3</v>
      </c>
      <c r="I32" s="35">
        <f t="shared" si="3"/>
        <v>1.9970083827608009E-2</v>
      </c>
    </row>
    <row r="33" spans="2:9" x14ac:dyDescent="0.3">
      <c r="B33" s="102">
        <f t="shared" si="0"/>
        <v>45200</v>
      </c>
      <c r="C33" s="98">
        <v>111.45</v>
      </c>
      <c r="D33" s="35">
        <f t="shared" si="1"/>
        <v>-7.8773350967102029E-2</v>
      </c>
      <c r="G33" s="103">
        <f t="shared" si="2"/>
        <v>45200</v>
      </c>
      <c r="H33" s="101">
        <v>19079.599999999999</v>
      </c>
      <c r="I33" s="35">
        <f t="shared" si="3"/>
        <v>-2.844950937708457E-2</v>
      </c>
    </row>
    <row r="34" spans="2:9" x14ac:dyDescent="0.3">
      <c r="B34" s="102">
        <f t="shared" si="0"/>
        <v>45231</v>
      </c>
      <c r="C34" s="98">
        <v>120.04</v>
      </c>
      <c r="D34" s="35">
        <f t="shared" si="1"/>
        <v>7.7074921489457271E-2</v>
      </c>
      <c r="G34" s="103">
        <f t="shared" si="2"/>
        <v>45231</v>
      </c>
      <c r="H34" s="101">
        <v>20133.150000000001</v>
      </c>
      <c r="I34" s="35">
        <f t="shared" si="3"/>
        <v>5.5218662865049728E-2</v>
      </c>
    </row>
    <row r="35" spans="2:9" x14ac:dyDescent="0.3">
      <c r="B35" s="102">
        <f t="shared" si="0"/>
        <v>45261</v>
      </c>
      <c r="C35" s="98">
        <v>131.02000000000001</v>
      </c>
      <c r="D35" s="35">
        <f t="shared" si="1"/>
        <v>9.1469510163278978E-2</v>
      </c>
      <c r="G35" s="103">
        <f t="shared" si="2"/>
        <v>45261</v>
      </c>
      <c r="H35" s="101">
        <v>21731.4</v>
      </c>
      <c r="I35" s="35">
        <f t="shared" si="3"/>
        <v>7.9384001013254268E-2</v>
      </c>
    </row>
    <row r="36" spans="2:9" x14ac:dyDescent="0.3">
      <c r="B36" s="102">
        <f t="shared" si="0"/>
        <v>45292</v>
      </c>
      <c r="C36" s="98">
        <v>127.6</v>
      </c>
      <c r="D36" s="35">
        <f t="shared" si="1"/>
        <v>-2.6102885055716785E-2</v>
      </c>
      <c r="G36" s="103">
        <f t="shared" si="2"/>
        <v>45292</v>
      </c>
      <c r="H36" s="101">
        <v>21725.7</v>
      </c>
      <c r="I36" s="35">
        <f t="shared" si="3"/>
        <v>-2.6229327148741266E-4</v>
      </c>
    </row>
    <row r="37" spans="2:9" x14ac:dyDescent="0.3">
      <c r="B37" s="102">
        <f t="shared" si="0"/>
        <v>45323</v>
      </c>
      <c r="C37" s="98">
        <v>132.19999999999999</v>
      </c>
      <c r="D37" s="35">
        <f t="shared" si="1"/>
        <v>3.6050156739811934E-2</v>
      </c>
      <c r="G37" s="103">
        <f t="shared" si="2"/>
        <v>45323</v>
      </c>
      <c r="H37" s="101">
        <v>21982.799999999999</v>
      </c>
      <c r="I37" s="35">
        <f t="shared" si="3"/>
        <v>1.1833910990209695E-2</v>
      </c>
    </row>
    <row r="38" spans="2:9" x14ac:dyDescent="0.3">
      <c r="B38" s="102">
        <f t="shared" si="0"/>
        <v>45352</v>
      </c>
      <c r="C38" s="98">
        <v>146.27000000000001</v>
      </c>
      <c r="D38" s="35">
        <f t="shared" si="1"/>
        <v>0.10642965204236021</v>
      </c>
      <c r="G38" s="103">
        <f t="shared" si="2"/>
        <v>45352</v>
      </c>
      <c r="H38" s="101">
        <v>22326.9</v>
      </c>
      <c r="I38" s="35">
        <f t="shared" si="3"/>
        <v>1.5653147005840973E-2</v>
      </c>
    </row>
    <row r="39" spans="2:9" x14ac:dyDescent="0.3">
      <c r="B39" s="102">
        <f t="shared" ref="B39:B65" si="4">EDATE(B38,1)</f>
        <v>45383</v>
      </c>
      <c r="C39" s="98">
        <v>154.86000000000001</v>
      </c>
      <c r="D39" s="35">
        <f t="shared" ref="D39:D66" si="5">C39/C38-1</f>
        <v>5.8727011690709041E-2</v>
      </c>
      <c r="G39" s="103">
        <f t="shared" ref="G39:G65" si="6">EDATE(G38,1)</f>
        <v>45383</v>
      </c>
      <c r="H39" s="101">
        <v>22604.85</v>
      </c>
      <c r="I39" s="35">
        <f t="shared" ref="I39:I66" si="7">H39/H38-1</f>
        <v>1.2449108474530624E-2</v>
      </c>
    </row>
    <row r="40" spans="2:9" x14ac:dyDescent="0.3">
      <c r="B40" s="102">
        <f t="shared" si="4"/>
        <v>45413</v>
      </c>
      <c r="C40" s="98">
        <v>156.93</v>
      </c>
      <c r="D40" s="35">
        <f t="shared" si="5"/>
        <v>1.3366912049593171E-2</v>
      </c>
      <c r="G40" s="103">
        <f t="shared" si="6"/>
        <v>45413</v>
      </c>
      <c r="H40" s="101">
        <v>22530.7</v>
      </c>
      <c r="I40" s="35">
        <f t="shared" si="7"/>
        <v>-3.2802694996869608E-3</v>
      </c>
    </row>
    <row r="41" spans="2:9" x14ac:dyDescent="0.3">
      <c r="B41" s="102">
        <f t="shared" si="4"/>
        <v>45444</v>
      </c>
      <c r="C41" s="98">
        <v>163.32</v>
      </c>
      <c r="D41" s="35">
        <f t="shared" si="5"/>
        <v>4.071879181800786E-2</v>
      </c>
      <c r="G41" s="103">
        <f t="shared" si="6"/>
        <v>45444</v>
      </c>
      <c r="H41" s="101">
        <v>24010.6</v>
      </c>
      <c r="I41" s="35">
        <f t="shared" si="7"/>
        <v>6.5683711558007341E-2</v>
      </c>
    </row>
    <row r="42" spans="2:9" x14ac:dyDescent="0.3">
      <c r="B42" s="102">
        <f t="shared" si="4"/>
        <v>45474</v>
      </c>
      <c r="C42" s="98">
        <v>158.30000000000001</v>
      </c>
      <c r="D42" s="35">
        <f t="shared" si="5"/>
        <v>-3.0737203036982463E-2</v>
      </c>
      <c r="G42" s="103">
        <f t="shared" si="6"/>
        <v>45474</v>
      </c>
      <c r="H42" s="101">
        <v>24951.15</v>
      </c>
      <c r="I42" s="35">
        <f t="shared" si="7"/>
        <v>3.917228224200997E-2</v>
      </c>
    </row>
    <row r="43" spans="2:9" x14ac:dyDescent="0.3">
      <c r="B43" s="102">
        <f t="shared" si="4"/>
        <v>45505</v>
      </c>
      <c r="C43" s="98">
        <v>146.26</v>
      </c>
      <c r="D43" s="35">
        <f t="shared" si="5"/>
        <v>-7.6058117498420841E-2</v>
      </c>
      <c r="G43" s="103">
        <f t="shared" si="6"/>
        <v>45505</v>
      </c>
      <c r="H43" s="101">
        <v>25235.9</v>
      </c>
      <c r="I43" s="35">
        <f t="shared" si="7"/>
        <v>1.141229963348378E-2</v>
      </c>
    </row>
    <row r="44" spans="2:9" x14ac:dyDescent="0.3">
      <c r="B44" s="102">
        <f t="shared" si="4"/>
        <v>45536</v>
      </c>
      <c r="C44" s="98">
        <v>161.38</v>
      </c>
      <c r="D44" s="35">
        <f t="shared" si="5"/>
        <v>0.10337754683440448</v>
      </c>
      <c r="G44" s="103">
        <f t="shared" si="6"/>
        <v>45536</v>
      </c>
      <c r="H44" s="101">
        <v>25810.85</v>
      </c>
      <c r="I44" s="35">
        <f t="shared" si="7"/>
        <v>2.2783019428670892E-2</v>
      </c>
    </row>
    <row r="45" spans="2:9" x14ac:dyDescent="0.3">
      <c r="B45" s="102">
        <f t="shared" si="4"/>
        <v>45566</v>
      </c>
      <c r="C45" s="98">
        <v>142.24</v>
      </c>
      <c r="D45" s="35">
        <f t="shared" si="5"/>
        <v>-0.11860205725616546</v>
      </c>
      <c r="G45" s="103">
        <f t="shared" si="6"/>
        <v>45566</v>
      </c>
      <c r="H45" s="101">
        <v>24205.35</v>
      </c>
      <c r="I45" s="35">
        <f t="shared" si="7"/>
        <v>-6.2202523357425266E-2</v>
      </c>
    </row>
    <row r="46" spans="2:9" x14ac:dyDescent="0.3">
      <c r="B46" s="102">
        <f t="shared" si="4"/>
        <v>45597</v>
      </c>
      <c r="C46" s="98">
        <v>138.38999999999999</v>
      </c>
      <c r="D46" s="35">
        <f t="shared" si="5"/>
        <v>-2.7066929133858442E-2</v>
      </c>
      <c r="G46" s="103">
        <f t="shared" si="6"/>
        <v>45597</v>
      </c>
      <c r="H46" s="101">
        <v>24131.1</v>
      </c>
      <c r="I46" s="35">
        <f t="shared" si="7"/>
        <v>-3.0675036717089377E-3</v>
      </c>
    </row>
    <row r="47" spans="2:9" x14ac:dyDescent="0.3">
      <c r="B47" s="102">
        <f t="shared" si="4"/>
        <v>45627</v>
      </c>
      <c r="C47" s="98">
        <v>132.18</v>
      </c>
      <c r="D47" s="35">
        <f t="shared" si="5"/>
        <v>-4.4873184478647188E-2</v>
      </c>
      <c r="G47" s="103">
        <f t="shared" si="6"/>
        <v>45627</v>
      </c>
      <c r="H47" s="101">
        <v>23644.799999999999</v>
      </c>
      <c r="I47" s="35">
        <f t="shared" si="7"/>
        <v>-2.0152417419844082E-2</v>
      </c>
    </row>
    <row r="48" spans="2:9" x14ac:dyDescent="0.3">
      <c r="B48" s="102">
        <f t="shared" si="4"/>
        <v>45658</v>
      </c>
      <c r="C48" s="98">
        <v>128.88999999999999</v>
      </c>
      <c r="D48" s="35">
        <f t="shared" si="5"/>
        <v>-2.4890301104554591E-2</v>
      </c>
      <c r="G48" s="103">
        <f t="shared" si="6"/>
        <v>45658</v>
      </c>
      <c r="H48" s="101">
        <v>23508.400000000001</v>
      </c>
      <c r="I48" s="35">
        <f t="shared" si="7"/>
        <v>-5.7687102449586192E-3</v>
      </c>
    </row>
    <row r="49" spans="2:9" x14ac:dyDescent="0.3">
      <c r="B49" s="102">
        <f t="shared" si="4"/>
        <v>45689</v>
      </c>
      <c r="C49" s="98">
        <v>131.36000000000001</v>
      </c>
      <c r="D49" s="35">
        <f t="shared" si="5"/>
        <v>1.9163627899759783E-2</v>
      </c>
      <c r="G49" s="103">
        <f t="shared" si="6"/>
        <v>45689</v>
      </c>
      <c r="H49" s="101">
        <v>22124.7</v>
      </c>
      <c r="I49" s="35">
        <f t="shared" si="7"/>
        <v>-5.8859811811948104E-2</v>
      </c>
    </row>
    <row r="50" spans="2:9" x14ac:dyDescent="0.3">
      <c r="B50" s="102">
        <f t="shared" si="4"/>
        <v>45717</v>
      </c>
      <c r="C50" s="98">
        <v>147.68</v>
      </c>
      <c r="D50" s="35">
        <f t="shared" si="5"/>
        <v>0.12423873325213153</v>
      </c>
      <c r="G50" s="103">
        <f t="shared" si="6"/>
        <v>45717</v>
      </c>
      <c r="H50" s="101">
        <v>23519.35</v>
      </c>
      <c r="I50" s="35">
        <f t="shared" si="7"/>
        <v>6.3035882972424462E-2</v>
      </c>
    </row>
    <row r="51" spans="2:9" x14ac:dyDescent="0.3">
      <c r="B51" s="102">
        <f t="shared" si="4"/>
        <v>45748</v>
      </c>
      <c r="C51" s="98">
        <v>134.12</v>
      </c>
      <c r="D51" s="35">
        <f t="shared" si="5"/>
        <v>-9.1820151679306572E-2</v>
      </c>
      <c r="G51" s="103">
        <f t="shared" si="6"/>
        <v>45748</v>
      </c>
      <c r="H51" s="101">
        <v>24334.2</v>
      </c>
      <c r="I51" s="35">
        <f t="shared" si="7"/>
        <v>3.4645940470293679E-2</v>
      </c>
    </row>
    <row r="52" spans="2:9" x14ac:dyDescent="0.3">
      <c r="B52" s="102">
        <f t="shared" si="4"/>
        <v>45778</v>
      </c>
      <c r="C52" s="98">
        <v>154.16999999999999</v>
      </c>
      <c r="D52" s="35">
        <f t="shared" si="5"/>
        <v>0.14949299135102878</v>
      </c>
      <c r="G52" s="103">
        <f t="shared" si="6"/>
        <v>45778</v>
      </c>
      <c r="H52" s="101">
        <v>24750.7</v>
      </c>
      <c r="I52" s="35">
        <f t="shared" si="7"/>
        <v>1.7115828751304685E-2</v>
      </c>
    </row>
    <row r="53" spans="2:9" x14ac:dyDescent="0.3">
      <c r="B53" s="102">
        <f t="shared" si="4"/>
        <v>45809</v>
      </c>
      <c r="C53" s="98">
        <v>152.96</v>
      </c>
      <c r="D53" s="35">
        <f t="shared" si="5"/>
        <v>-7.8484789518062925E-3</v>
      </c>
      <c r="G53" s="103">
        <f t="shared" si="6"/>
        <v>45809</v>
      </c>
      <c r="H53" s="101">
        <v>25517.05</v>
      </c>
      <c r="I53" s="35">
        <f t="shared" si="7"/>
        <v>3.0962760649193788E-2</v>
      </c>
    </row>
    <row r="54" spans="2:9" x14ac:dyDescent="0.3">
      <c r="B54" s="102">
        <f t="shared" si="4"/>
        <v>45839</v>
      </c>
      <c r="C54" s="98">
        <v>154.75</v>
      </c>
      <c r="D54" s="35">
        <f t="shared" si="5"/>
        <v>1.1702405857740628E-2</v>
      </c>
      <c r="G54" s="103">
        <f t="shared" si="6"/>
        <v>45839</v>
      </c>
      <c r="H54" s="101">
        <v>24768.35</v>
      </c>
      <c r="I54" s="35">
        <f t="shared" si="7"/>
        <v>-2.9341166004691055E-2</v>
      </c>
    </row>
    <row r="55" spans="2:9" x14ac:dyDescent="0.3">
      <c r="B55" s="102">
        <f t="shared" si="4"/>
        <v>45870</v>
      </c>
      <c r="C55" s="98">
        <v>151.36000000000001</v>
      </c>
      <c r="D55" s="35">
        <f t="shared" si="5"/>
        <v>-2.1906300484652586E-2</v>
      </c>
      <c r="G55" s="103">
        <f t="shared" si="6"/>
        <v>45870</v>
      </c>
      <c r="H55" s="101">
        <v>24426.85</v>
      </c>
      <c r="I55" s="35">
        <f t="shared" si="7"/>
        <v>-1.3787757359694952E-2</v>
      </c>
    </row>
    <row r="56" spans="2:9" x14ac:dyDescent="0.3">
      <c r="B56" s="102">
        <f t="shared" si="4"/>
        <v>45901</v>
      </c>
      <c r="C56" s="98">
        <v>165.36</v>
      </c>
      <c r="D56" s="35">
        <f t="shared" si="5"/>
        <v>9.2494714587737725E-2</v>
      </c>
      <c r="G56" s="103">
        <f t="shared" si="6"/>
        <v>45901</v>
      </c>
      <c r="H56" s="101">
        <v>24611.1</v>
      </c>
      <c r="I56" s="35">
        <f t="shared" si="7"/>
        <v>7.5429291947182175E-3</v>
      </c>
    </row>
    <row r="57" spans="2:9" x14ac:dyDescent="0.3">
      <c r="B57" s="102">
        <f t="shared" si="4"/>
        <v>45931</v>
      </c>
      <c r="C57" s="98">
        <v>179.15</v>
      </c>
      <c r="D57" s="35">
        <f t="shared" si="5"/>
        <v>8.339380745041125E-2</v>
      </c>
      <c r="G57" s="103">
        <f t="shared" si="6"/>
        <v>45931</v>
      </c>
      <c r="H57" s="101">
        <v>25722.1</v>
      </c>
      <c r="I57" s="35">
        <f t="shared" si="7"/>
        <v>4.5142232569856722E-2</v>
      </c>
    </row>
    <row r="58" spans="2:9" x14ac:dyDescent="0.3">
      <c r="B58" s="102">
        <f t="shared" si="4"/>
        <v>45962</v>
      </c>
      <c r="C58" s="98">
        <v>164.57</v>
      </c>
      <c r="D58" s="35">
        <f t="shared" si="5"/>
        <v>-8.1384314819983317E-2</v>
      </c>
      <c r="G58" s="103">
        <f t="shared" si="6"/>
        <v>45962</v>
      </c>
      <c r="H58" s="101">
        <v>26202.95</v>
      </c>
      <c r="I58" s="35">
        <f t="shared" si="7"/>
        <v>1.8694041310779452E-2</v>
      </c>
    </row>
    <row r="59" spans="2:9" x14ac:dyDescent="0.3">
      <c r="B59" s="102">
        <f t="shared" si="4"/>
        <v>45992</v>
      </c>
      <c r="C59" s="98">
        <v>176.44</v>
      </c>
      <c r="D59" s="35">
        <f t="shared" si="5"/>
        <v>7.2127362216686031E-2</v>
      </c>
      <c r="G59" s="103">
        <f t="shared" si="6"/>
        <v>45992</v>
      </c>
      <c r="H59" s="101">
        <v>26129.599999999999</v>
      </c>
      <c r="I59" s="35">
        <f t="shared" si="7"/>
        <v>-2.7993031318993555E-3</v>
      </c>
    </row>
    <row r="60" spans="2:9" x14ac:dyDescent="0.3">
      <c r="B60" s="102">
        <f t="shared" si="4"/>
        <v>46023</v>
      </c>
      <c r="C60" s="98">
        <v>189.23</v>
      </c>
      <c r="D60" s="35">
        <f t="shared" si="5"/>
        <v>7.248923146678754E-2</v>
      </c>
      <c r="G60" s="103">
        <f t="shared" si="6"/>
        <v>46023</v>
      </c>
      <c r="H60" s="101">
        <v>25320.65</v>
      </c>
      <c r="I60" s="35">
        <f t="shared" si="7"/>
        <v>-3.0959142122343852E-2</v>
      </c>
    </row>
    <row r="61" spans="2:9" x14ac:dyDescent="0.3">
      <c r="B61" s="102">
        <f t="shared" si="4"/>
        <v>46054</v>
      </c>
      <c r="C61" s="98">
        <v>208.04</v>
      </c>
      <c r="D61" s="35">
        <f t="shared" si="5"/>
        <v>9.9402843100988125E-2</v>
      </c>
      <c r="G61" s="103">
        <f t="shared" si="6"/>
        <v>46054</v>
      </c>
      <c r="H61" s="101">
        <v>25178.65</v>
      </c>
      <c r="I61" s="35">
        <f t="shared" si="7"/>
        <v>-5.6080708828565307E-3</v>
      </c>
    </row>
    <row r="62" spans="2:9" x14ac:dyDescent="0.3">
      <c r="B62" s="102">
        <f t="shared" si="4"/>
        <v>46082</v>
      </c>
      <c r="C62" s="98">
        <v>187.98</v>
      </c>
      <c r="D62" s="35">
        <f t="shared" si="5"/>
        <v>-9.6423764660642175E-2</v>
      </c>
      <c r="G62" s="103">
        <f t="shared" si="6"/>
        <v>46082</v>
      </c>
      <c r="H62" s="101">
        <v>22331.4</v>
      </c>
      <c r="I62" s="35">
        <f t="shared" si="7"/>
        <v>-0.11308191662380629</v>
      </c>
    </row>
    <row r="63" spans="2:9" x14ac:dyDescent="0.3">
      <c r="B63" s="102">
        <f t="shared" si="4"/>
        <v>46113</v>
      </c>
      <c r="C63" s="98">
        <v>207.09</v>
      </c>
      <c r="D63" s="35">
        <f t="shared" si="5"/>
        <v>0.10165975103734448</v>
      </c>
      <c r="G63" s="103">
        <f t="shared" si="6"/>
        <v>46113</v>
      </c>
      <c r="H63" s="101">
        <v>23997.55</v>
      </c>
      <c r="I63" s="35">
        <f t="shared" si="7"/>
        <v>7.4610190135862453E-2</v>
      </c>
    </row>
    <row r="64" spans="2:9" x14ac:dyDescent="0.3">
      <c r="B64" s="102">
        <f t="shared" si="4"/>
        <v>46143</v>
      </c>
      <c r="C64" s="98">
        <v>203.82</v>
      </c>
      <c r="D64" s="35">
        <f t="shared" si="5"/>
        <v>-1.5790236129219259E-2</v>
      </c>
      <c r="G64" s="103">
        <f t="shared" si="6"/>
        <v>46143</v>
      </c>
      <c r="H64" s="101">
        <v>23547.75</v>
      </c>
      <c r="I64" s="35">
        <f t="shared" si="7"/>
        <v>-1.8743580073799171E-2</v>
      </c>
    </row>
    <row r="65" spans="2:9" x14ac:dyDescent="0.3">
      <c r="B65" s="102">
        <f t="shared" si="4"/>
        <v>46174</v>
      </c>
      <c r="C65" s="98">
        <v>193.29</v>
      </c>
      <c r="D65" s="35">
        <f t="shared" si="5"/>
        <v>-5.1663232263762127E-2</v>
      </c>
      <c r="G65" s="103">
        <f t="shared" si="6"/>
        <v>46174</v>
      </c>
      <c r="H65" s="101">
        <v>23853.9</v>
      </c>
      <c r="I65" s="35">
        <f t="shared" si="7"/>
        <v>1.3001242156894133E-2</v>
      </c>
    </row>
    <row r="66" spans="2:9" x14ac:dyDescent="0.3">
      <c r="B66" s="102">
        <v>46189</v>
      </c>
      <c r="C66" s="98">
        <v>196</v>
      </c>
      <c r="D66" s="35">
        <f t="shared" si="5"/>
        <v>1.4020383879145282E-2</v>
      </c>
      <c r="G66" s="103">
        <v>46189</v>
      </c>
      <c r="H66" s="101">
        <v>23989.15</v>
      </c>
      <c r="I66" s="35">
        <f t="shared" si="7"/>
        <v>5.6699323800299961E-3</v>
      </c>
    </row>
    <row r="67" spans="2:9" x14ac:dyDescent="0.3">
      <c r="B67" s="106"/>
      <c r="C67" s="107"/>
      <c r="D67" s="35"/>
      <c r="G67" s="108"/>
      <c r="H67" s="101"/>
      <c r="I67" s="35"/>
    </row>
    <row r="68" spans="2:9" x14ac:dyDescent="0.3">
      <c r="B68" s="106"/>
      <c r="C68" s="107"/>
      <c r="D68" s="35"/>
      <c r="G68" s="108"/>
      <c r="H68" s="101"/>
      <c r="I68" s="35"/>
    </row>
    <row r="69" spans="2:9" x14ac:dyDescent="0.3">
      <c r="B69" s="106"/>
      <c r="C69" s="107"/>
      <c r="D69" s="35"/>
      <c r="G69" s="108"/>
      <c r="H69" s="101"/>
      <c r="I69" s="35"/>
    </row>
    <row r="70" spans="2:9" x14ac:dyDescent="0.3">
      <c r="B70" s="106"/>
      <c r="C70" s="107"/>
      <c r="D70" s="35"/>
      <c r="G70" s="108"/>
      <c r="H70" s="101"/>
      <c r="I70" s="35"/>
    </row>
    <row r="71" spans="2:9" x14ac:dyDescent="0.3">
      <c r="B71" s="106"/>
      <c r="C71" s="107"/>
      <c r="D71" s="35"/>
      <c r="G71" s="108"/>
      <c r="H71" s="101"/>
      <c r="I71" s="35"/>
    </row>
    <row r="72" spans="2:9" x14ac:dyDescent="0.3">
      <c r="B72" s="106"/>
      <c r="C72" s="107"/>
      <c r="D72" s="35"/>
      <c r="G72" s="108"/>
      <c r="H72" s="101"/>
      <c r="I72" s="35"/>
    </row>
    <row r="73" spans="2:9" x14ac:dyDescent="0.3">
      <c r="B73" s="106"/>
      <c r="C73" s="107"/>
      <c r="D73" s="35"/>
      <c r="G73" s="108"/>
      <c r="H73" s="101"/>
      <c r="I73" s="35"/>
    </row>
    <row r="74" spans="2:9" x14ac:dyDescent="0.3">
      <c r="B74" s="106"/>
      <c r="C74" s="107"/>
      <c r="D74" s="35"/>
      <c r="G74" s="108"/>
      <c r="H74" s="101"/>
      <c r="I74" s="35"/>
    </row>
    <row r="75" spans="2:9" x14ac:dyDescent="0.3">
      <c r="B75" s="106"/>
      <c r="C75" s="107"/>
      <c r="D75" s="35"/>
      <c r="G75" s="108"/>
      <c r="H75" s="101"/>
      <c r="I75" s="35"/>
    </row>
    <row r="76" spans="2:9" x14ac:dyDescent="0.3">
      <c r="B76" s="106"/>
      <c r="C76" s="107"/>
      <c r="D76" s="35"/>
      <c r="G76" s="108"/>
      <c r="H76" s="101"/>
      <c r="I76" s="35"/>
    </row>
    <row r="77" spans="2:9" x14ac:dyDescent="0.3">
      <c r="B77" s="106"/>
      <c r="C77" s="107"/>
      <c r="D77" s="35"/>
      <c r="G77" s="108"/>
      <c r="H77" s="101"/>
      <c r="I77" s="35"/>
    </row>
    <row r="78" spans="2:9" x14ac:dyDescent="0.3">
      <c r="B78" s="106"/>
      <c r="C78" s="107"/>
      <c r="D78" s="35"/>
      <c r="G78" s="108"/>
      <c r="H78" s="101"/>
      <c r="I78" s="35"/>
    </row>
    <row r="79" spans="2:9" x14ac:dyDescent="0.3">
      <c r="B79" s="106"/>
      <c r="C79" s="107"/>
      <c r="D79" s="35"/>
      <c r="G79" s="108"/>
      <c r="H79" s="101"/>
      <c r="I79" s="35"/>
    </row>
    <row r="80" spans="2:9" x14ac:dyDescent="0.3">
      <c r="B80" s="106"/>
      <c r="C80" s="107"/>
      <c r="D80" s="35"/>
      <c r="G80" s="108"/>
      <c r="H80" s="101"/>
      <c r="I80" s="35"/>
    </row>
    <row r="81" spans="2:9" x14ac:dyDescent="0.3">
      <c r="B81" s="106"/>
      <c r="C81" s="107"/>
      <c r="D81" s="35"/>
      <c r="G81" s="108"/>
      <c r="H81" s="101"/>
      <c r="I81" s="35"/>
    </row>
    <row r="82" spans="2:9" x14ac:dyDescent="0.3">
      <c r="B82" s="106"/>
      <c r="C82" s="107"/>
      <c r="D82" s="35"/>
      <c r="G82" s="108"/>
      <c r="H82" s="101"/>
      <c r="I82" s="35"/>
    </row>
    <row r="83" spans="2:9" x14ac:dyDescent="0.3">
      <c r="B83" s="106"/>
      <c r="C83" s="107"/>
      <c r="D83" s="35"/>
      <c r="G83" s="108"/>
      <c r="H83" s="101"/>
      <c r="I83" s="35"/>
    </row>
    <row r="84" spans="2:9" x14ac:dyDescent="0.3">
      <c r="B84" s="106"/>
      <c r="C84" s="107"/>
      <c r="D84" s="35"/>
      <c r="G84" s="108"/>
      <c r="H84" s="101"/>
      <c r="I84" s="35"/>
    </row>
    <row r="85" spans="2:9" x14ac:dyDescent="0.3">
      <c r="B85" s="106"/>
      <c r="C85" s="107"/>
      <c r="D85" s="35"/>
      <c r="G85" s="108"/>
      <c r="H85" s="101"/>
      <c r="I85" s="35"/>
    </row>
    <row r="86" spans="2:9" x14ac:dyDescent="0.3">
      <c r="B86" s="106"/>
      <c r="C86" s="107"/>
      <c r="D86" s="35"/>
      <c r="G86" s="108"/>
      <c r="H86" s="101"/>
      <c r="I86" s="35"/>
    </row>
    <row r="87" spans="2:9" x14ac:dyDescent="0.3">
      <c r="B87" s="106"/>
      <c r="C87" s="107"/>
      <c r="D87" s="35"/>
      <c r="G87" s="108"/>
      <c r="H87" s="101"/>
      <c r="I87" s="35"/>
    </row>
    <row r="88" spans="2:9" x14ac:dyDescent="0.3">
      <c r="B88" s="106"/>
      <c r="C88" s="107"/>
      <c r="D88" s="35"/>
      <c r="G88" s="108"/>
      <c r="H88" s="101"/>
      <c r="I88" s="35"/>
    </row>
    <row r="89" spans="2:9" x14ac:dyDescent="0.3">
      <c r="B89" s="106"/>
      <c r="C89" s="107"/>
      <c r="D89" s="35"/>
      <c r="G89" s="108"/>
      <c r="H89" s="101"/>
      <c r="I89" s="35"/>
    </row>
    <row r="90" spans="2:9" x14ac:dyDescent="0.3">
      <c r="B90" s="106"/>
      <c r="C90" s="107"/>
      <c r="D90" s="35"/>
      <c r="G90" s="108"/>
      <c r="H90" s="101"/>
      <c r="I90" s="35"/>
    </row>
    <row r="91" spans="2:9" x14ac:dyDescent="0.3">
      <c r="B91" s="106"/>
      <c r="C91" s="107"/>
      <c r="D91" s="35"/>
      <c r="G91" s="108"/>
      <c r="H91" s="101"/>
      <c r="I91" s="35"/>
    </row>
    <row r="92" spans="2:9" x14ac:dyDescent="0.3">
      <c r="B92" s="106"/>
      <c r="C92" s="107"/>
      <c r="D92" s="35"/>
      <c r="G92" s="108"/>
      <c r="H92" s="101"/>
      <c r="I92" s="35"/>
    </row>
    <row r="93" spans="2:9" x14ac:dyDescent="0.3">
      <c r="B93" s="106"/>
      <c r="C93" s="107"/>
      <c r="D93" s="35"/>
      <c r="G93" s="108"/>
      <c r="H93" s="101"/>
      <c r="I93" s="35"/>
    </row>
    <row r="94" spans="2:9" x14ac:dyDescent="0.3">
      <c r="B94" s="106"/>
      <c r="C94" s="107"/>
      <c r="D94" s="35"/>
      <c r="G94" s="108"/>
      <c r="H94" s="101"/>
      <c r="I94" s="35"/>
    </row>
    <row r="95" spans="2:9" x14ac:dyDescent="0.3">
      <c r="B95" s="106"/>
      <c r="C95" s="107"/>
      <c r="D95" s="35"/>
      <c r="G95" s="108"/>
      <c r="H95" s="101"/>
      <c r="I95" s="35"/>
    </row>
    <row r="96" spans="2:9" x14ac:dyDescent="0.3">
      <c r="B96" s="106"/>
      <c r="C96" s="107"/>
      <c r="D96" s="35"/>
      <c r="G96" s="108"/>
      <c r="H96" s="101"/>
      <c r="I96" s="35"/>
    </row>
    <row r="97" spans="2:9" x14ac:dyDescent="0.3">
      <c r="B97" s="106"/>
      <c r="C97" s="107"/>
      <c r="D97" s="35"/>
      <c r="G97" s="108"/>
      <c r="H97" s="101"/>
      <c r="I97" s="35"/>
    </row>
    <row r="98" spans="2:9" x14ac:dyDescent="0.3">
      <c r="B98" s="106"/>
      <c r="C98" s="107"/>
      <c r="D98" s="35"/>
      <c r="G98" s="108"/>
      <c r="H98" s="101"/>
      <c r="I98" s="35"/>
    </row>
    <row r="99" spans="2:9" x14ac:dyDescent="0.3">
      <c r="B99" s="106"/>
      <c r="C99" s="107"/>
      <c r="D99" s="35"/>
      <c r="G99" s="108"/>
      <c r="H99" s="101"/>
      <c r="I99" s="35"/>
    </row>
    <row r="100" spans="2:9" x14ac:dyDescent="0.3">
      <c r="B100" s="106"/>
      <c r="C100" s="107"/>
      <c r="D100" s="35"/>
      <c r="G100" s="108"/>
      <c r="H100" s="101"/>
      <c r="I100" s="35"/>
    </row>
    <row r="101" spans="2:9" x14ac:dyDescent="0.3">
      <c r="B101" s="106"/>
      <c r="C101" s="107"/>
      <c r="D101" s="35"/>
      <c r="G101" s="108"/>
      <c r="H101" s="101"/>
      <c r="I101" s="35"/>
    </row>
    <row r="102" spans="2:9" x14ac:dyDescent="0.3">
      <c r="B102" s="106"/>
      <c r="C102" s="107"/>
      <c r="D102" s="35"/>
      <c r="G102" s="108"/>
      <c r="H102" s="101"/>
      <c r="I102" s="35"/>
    </row>
    <row r="103" spans="2:9" x14ac:dyDescent="0.3">
      <c r="B103" s="106"/>
      <c r="C103" s="107"/>
      <c r="D103" s="35"/>
      <c r="G103" s="108"/>
      <c r="H103" s="101"/>
      <c r="I103" s="35"/>
    </row>
    <row r="104" spans="2:9" x14ac:dyDescent="0.3">
      <c r="B104" s="106"/>
      <c r="C104" s="107"/>
      <c r="D104" s="35"/>
      <c r="G104" s="108"/>
      <c r="H104" s="101"/>
      <c r="I104" s="35"/>
    </row>
    <row r="105" spans="2:9" x14ac:dyDescent="0.3">
      <c r="B105" s="106"/>
      <c r="C105" s="107"/>
      <c r="D105" s="35"/>
      <c r="G105" s="108"/>
      <c r="H105" s="101"/>
      <c r="I105" s="35"/>
    </row>
    <row r="106" spans="2:9" x14ac:dyDescent="0.3">
      <c r="B106" s="106"/>
      <c r="C106" s="107"/>
      <c r="D106" s="35"/>
      <c r="G106" s="108"/>
      <c r="H106" s="101"/>
      <c r="I106" s="35"/>
    </row>
    <row r="107" spans="2:9" x14ac:dyDescent="0.3">
      <c r="B107" s="106"/>
      <c r="C107" s="107"/>
      <c r="D107" s="35"/>
      <c r="G107" s="108"/>
      <c r="H107" s="101"/>
      <c r="I107" s="35"/>
    </row>
    <row r="108" spans="2:9" x14ac:dyDescent="0.3">
      <c r="B108" s="106"/>
      <c r="C108" s="107"/>
      <c r="D108" s="35"/>
      <c r="G108" s="108"/>
      <c r="H108" s="101"/>
      <c r="I108" s="35"/>
    </row>
    <row r="109" spans="2:9" x14ac:dyDescent="0.3">
      <c r="B109" s="106"/>
      <c r="C109" s="107"/>
      <c r="D109" s="35"/>
      <c r="G109" s="108"/>
      <c r="H109" s="101"/>
      <c r="I109" s="35"/>
    </row>
    <row r="110" spans="2:9" x14ac:dyDescent="0.3">
      <c r="B110" s="106"/>
      <c r="C110" s="107"/>
      <c r="D110" s="35"/>
      <c r="G110" s="108"/>
      <c r="H110" s="101"/>
      <c r="I110" s="35"/>
    </row>
  </sheetData>
  <mergeCells count="4">
    <mergeCell ref="B4:D4"/>
    <mergeCell ref="G4:I4"/>
    <mergeCell ref="K4:L4"/>
    <mergeCell ref="O14:P1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18"/>
  <sheetViews>
    <sheetView showGridLines="0" zoomScaleNormal="100" workbookViewId="0">
      <selection activeCell="E15" sqref="E15"/>
    </sheetView>
  </sheetViews>
  <sheetFormatPr defaultColWidth="8.6640625" defaultRowHeight="14.4" x14ac:dyDescent="0.3"/>
  <cols>
    <col min="1" max="1" width="1.88671875" customWidth="1"/>
    <col min="2" max="2" width="5.5546875" customWidth="1"/>
    <col min="3" max="3" width="14.33203125" customWidth="1"/>
    <col min="4" max="4" width="7.88671875" customWidth="1"/>
    <col min="5" max="5" width="13.88671875" customWidth="1"/>
    <col min="6" max="6" width="10.21875" customWidth="1"/>
  </cols>
  <sheetData>
    <row r="2" spans="2:7" x14ac:dyDescent="0.3">
      <c r="B2" s="159" t="s">
        <v>355</v>
      </c>
      <c r="C2" s="159"/>
      <c r="D2" s="159"/>
      <c r="E2" s="159"/>
      <c r="F2" s="159"/>
      <c r="G2" s="159"/>
    </row>
    <row r="4" spans="2:7" x14ac:dyDescent="0.3">
      <c r="B4" s="156" t="s">
        <v>225</v>
      </c>
      <c r="C4" s="157" t="s">
        <v>226</v>
      </c>
      <c r="D4" s="157" t="s">
        <v>227</v>
      </c>
      <c r="E4" s="157" t="s">
        <v>228</v>
      </c>
      <c r="F4" s="157" t="s">
        <v>229</v>
      </c>
      <c r="G4" s="157" t="s">
        <v>230</v>
      </c>
    </row>
    <row r="5" spans="2:7" x14ac:dyDescent="0.3">
      <c r="B5" s="18">
        <v>1</v>
      </c>
      <c r="C5" t="s">
        <v>152</v>
      </c>
      <c r="D5">
        <v>1274.3</v>
      </c>
      <c r="E5">
        <v>311708.34999999998</v>
      </c>
      <c r="F5" s="44">
        <v>0.99</v>
      </c>
      <c r="G5">
        <v>99310</v>
      </c>
    </row>
    <row r="6" spans="2:7" x14ac:dyDescent="0.3">
      <c r="B6" s="18">
        <v>2</v>
      </c>
      <c r="C6" t="s">
        <v>154</v>
      </c>
      <c r="D6">
        <v>196</v>
      </c>
      <c r="E6">
        <v>244528.39</v>
      </c>
      <c r="F6" s="44">
        <v>0.9</v>
      </c>
      <c r="G6">
        <v>92381.68</v>
      </c>
    </row>
    <row r="7" spans="2:7" x14ac:dyDescent="0.3">
      <c r="B7" s="18">
        <v>3</v>
      </c>
      <c r="C7" t="s">
        <v>155</v>
      </c>
      <c r="D7">
        <v>1139.8</v>
      </c>
      <c r="E7">
        <v>116249.42</v>
      </c>
      <c r="F7" s="44">
        <v>0.44</v>
      </c>
      <c r="G7">
        <v>22609.55</v>
      </c>
    </row>
    <row r="8" spans="2:7" x14ac:dyDescent="0.3">
      <c r="B8" s="18">
        <v>4</v>
      </c>
      <c r="C8" t="s">
        <v>156</v>
      </c>
      <c r="D8">
        <v>180.99</v>
      </c>
      <c r="E8">
        <v>74782.960000000006</v>
      </c>
      <c r="F8" s="44">
        <v>0.53</v>
      </c>
      <c r="G8">
        <v>31927.71</v>
      </c>
    </row>
    <row r="9" spans="2:7" x14ac:dyDescent="0.3">
      <c r="B9" s="18">
        <v>5</v>
      </c>
      <c r="C9" t="s">
        <v>157</v>
      </c>
      <c r="D9">
        <v>709.85</v>
      </c>
      <c r="E9" s="43">
        <v>58525.599999999999</v>
      </c>
      <c r="F9" s="44">
        <v>0.38</v>
      </c>
      <c r="G9">
        <v>7460.33</v>
      </c>
    </row>
    <row r="10" spans="2:7" x14ac:dyDescent="0.3">
      <c r="B10" s="18"/>
    </row>
    <row r="11" spans="2:7" x14ac:dyDescent="0.3">
      <c r="B11" s="18"/>
    </row>
    <row r="12" spans="2:7" x14ac:dyDescent="0.3">
      <c r="B12" s="18"/>
    </row>
    <row r="13" spans="2:7" x14ac:dyDescent="0.3">
      <c r="B13" s="18"/>
    </row>
    <row r="14" spans="2:7" x14ac:dyDescent="0.3">
      <c r="B14" s="18"/>
    </row>
    <row r="15" spans="2:7" x14ac:dyDescent="0.3">
      <c r="B15" s="18"/>
    </row>
    <row r="16" spans="2:7" x14ac:dyDescent="0.3">
      <c r="B16" s="18"/>
    </row>
    <row r="17" spans="2:2" x14ac:dyDescent="0.3">
      <c r="B17" s="18"/>
    </row>
    <row r="18" spans="2:2" x14ac:dyDescent="0.3">
      <c r="B18" s="1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31"/>
  <sheetViews>
    <sheetView showGridLines="0" topLeftCell="A3" zoomScaleNormal="100" workbookViewId="0">
      <selection activeCell="F21" sqref="F21"/>
    </sheetView>
  </sheetViews>
  <sheetFormatPr defaultColWidth="8.6640625" defaultRowHeight="14.4" x14ac:dyDescent="0.3"/>
  <cols>
    <col min="1" max="1" width="1.88671875" customWidth="1"/>
  </cols>
  <sheetData>
    <row r="2" spans="2:7" x14ac:dyDescent="0.3">
      <c r="B2" s="88" t="s">
        <v>231</v>
      </c>
      <c r="C2" s="89"/>
      <c r="D2" s="89"/>
      <c r="E2" s="89"/>
      <c r="F2" s="89"/>
      <c r="G2" s="89"/>
    </row>
    <row r="4" spans="2:7" x14ac:dyDescent="0.3">
      <c r="B4" s="157" t="s">
        <v>232</v>
      </c>
      <c r="C4" s="157" t="s">
        <v>233</v>
      </c>
    </row>
    <row r="5" spans="2:7" x14ac:dyDescent="0.3">
      <c r="B5" s="18">
        <v>2000</v>
      </c>
      <c r="C5" s="36">
        <v>-0.14649999999999999</v>
      </c>
    </row>
    <row r="6" spans="2:7" x14ac:dyDescent="0.3">
      <c r="B6" s="18">
        <v>2001</v>
      </c>
      <c r="C6" s="36">
        <v>-0.1618</v>
      </c>
      <c r="E6" t="s">
        <v>234</v>
      </c>
      <c r="G6" s="12">
        <f>AVERAGE(C5:C30)</f>
        <v>0.1514923076923077</v>
      </c>
    </row>
    <row r="7" spans="2:7" ht="15.75" customHeight="1" x14ac:dyDescent="0.3">
      <c r="B7" s="18">
        <v>2002</v>
      </c>
      <c r="C7" s="36">
        <v>3.2500000000000001E-2</v>
      </c>
      <c r="E7" t="s">
        <v>235</v>
      </c>
      <c r="G7" s="109" t="s">
        <v>236</v>
      </c>
    </row>
    <row r="8" spans="2:7" ht="15" thickBot="1" x14ac:dyDescent="0.35">
      <c r="B8" s="18">
        <v>2003</v>
      </c>
      <c r="C8" s="36">
        <v>0.71899999999999997</v>
      </c>
      <c r="E8" s="191" t="s">
        <v>237</v>
      </c>
      <c r="F8" s="191"/>
      <c r="G8" s="192">
        <f>SUM(G6:G7)</f>
        <v>0.1514923076923077</v>
      </c>
    </row>
    <row r="9" spans="2:7" ht="15" thickTop="1" x14ac:dyDescent="0.3">
      <c r="B9" s="18">
        <v>2004</v>
      </c>
      <c r="C9" s="36">
        <v>0.10680000000000001</v>
      </c>
    </row>
    <row r="10" spans="2:7" x14ac:dyDescent="0.3">
      <c r="B10" s="18">
        <v>2005</v>
      </c>
      <c r="C10" s="36">
        <v>0.3634</v>
      </c>
    </row>
    <row r="11" spans="2:7" x14ac:dyDescent="0.3">
      <c r="B11" s="18">
        <v>2006</v>
      </c>
      <c r="C11" s="36">
        <v>0.39829999999999999</v>
      </c>
    </row>
    <row r="12" spans="2:7" x14ac:dyDescent="0.3">
      <c r="B12" s="18">
        <v>2007</v>
      </c>
      <c r="C12" s="36">
        <v>0.54769999999999996</v>
      </c>
    </row>
    <row r="13" spans="2:7" x14ac:dyDescent="0.3">
      <c r="B13" s="18">
        <v>2008</v>
      </c>
      <c r="C13" s="36">
        <v>-0.51790000000000003</v>
      </c>
    </row>
    <row r="14" spans="2:7" x14ac:dyDescent="0.3">
      <c r="B14" s="18">
        <v>2009</v>
      </c>
      <c r="C14" s="36">
        <v>0.75760000000000005</v>
      </c>
    </row>
    <row r="15" spans="2:7" x14ac:dyDescent="0.3">
      <c r="B15" s="18">
        <v>2010</v>
      </c>
      <c r="C15" s="36">
        <v>0.17949999999999999</v>
      </c>
    </row>
    <row r="16" spans="2:7" x14ac:dyDescent="0.3">
      <c r="B16" s="18">
        <v>2011</v>
      </c>
      <c r="C16" s="36">
        <v>-0.2462</v>
      </c>
    </row>
    <row r="17" spans="2:3" x14ac:dyDescent="0.3">
      <c r="B17" s="18">
        <v>2012</v>
      </c>
      <c r="C17" s="36">
        <v>0.27700000000000002</v>
      </c>
    </row>
    <row r="18" spans="2:3" x14ac:dyDescent="0.3">
      <c r="B18" s="18">
        <v>2013</v>
      </c>
      <c r="C18" s="36">
        <v>6.7599999999999993E-2</v>
      </c>
    </row>
    <row r="19" spans="2:3" x14ac:dyDescent="0.3">
      <c r="B19" s="18">
        <v>2014</v>
      </c>
      <c r="C19" s="36">
        <v>0.31390000000000001</v>
      </c>
    </row>
    <row r="20" spans="2:3" x14ac:dyDescent="0.3">
      <c r="B20" s="18">
        <v>2015</v>
      </c>
      <c r="C20" s="36">
        <v>-4.0599999999999997E-2</v>
      </c>
    </row>
    <row r="21" spans="2:3" x14ac:dyDescent="0.3">
      <c r="B21" s="18">
        <v>2016</v>
      </c>
      <c r="C21" s="36">
        <v>3.0099999999999998E-2</v>
      </c>
    </row>
    <row r="22" spans="2:3" x14ac:dyDescent="0.3">
      <c r="B22" s="18">
        <v>2017</v>
      </c>
      <c r="C22" s="36">
        <v>0.28649999999999998</v>
      </c>
    </row>
    <row r="23" spans="2:3" x14ac:dyDescent="0.3">
      <c r="B23" s="18">
        <v>2018</v>
      </c>
      <c r="C23" s="36">
        <v>3.15E-2</v>
      </c>
    </row>
    <row r="24" spans="2:3" x14ac:dyDescent="0.3">
      <c r="B24" s="18">
        <v>2019</v>
      </c>
      <c r="C24" s="36">
        <v>0.1202</v>
      </c>
    </row>
    <row r="25" spans="2:3" x14ac:dyDescent="0.3">
      <c r="B25" s="18">
        <v>2020</v>
      </c>
      <c r="C25" s="36">
        <v>0.14899999999999999</v>
      </c>
    </row>
    <row r="26" spans="2:3" x14ac:dyDescent="0.3">
      <c r="B26" s="18">
        <v>2021</v>
      </c>
      <c r="C26" s="36">
        <v>0.2412</v>
      </c>
    </row>
    <row r="27" spans="2:3" x14ac:dyDescent="0.3">
      <c r="B27" s="18">
        <v>2022</v>
      </c>
      <c r="C27" s="36">
        <v>4.3200000000000002E-2</v>
      </c>
    </row>
    <row r="28" spans="2:3" x14ac:dyDescent="0.3">
      <c r="B28" s="18">
        <v>2023</v>
      </c>
      <c r="C28" s="36">
        <v>0.19420000000000001</v>
      </c>
    </row>
    <row r="29" spans="2:3" x14ac:dyDescent="0.3">
      <c r="B29" s="18">
        <v>2024</v>
      </c>
      <c r="C29" s="36">
        <v>8.7499999999999994E-2</v>
      </c>
    </row>
    <row r="30" spans="2:3" x14ac:dyDescent="0.3">
      <c r="B30" s="18">
        <v>2025</v>
      </c>
      <c r="C30" s="36">
        <v>0.1051</v>
      </c>
    </row>
    <row r="31" spans="2:3" x14ac:dyDescent="0.3">
      <c r="B31" s="18">
        <v>2026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K64"/>
  <sheetViews>
    <sheetView showGridLines="0" zoomScaleNormal="100" workbookViewId="0">
      <selection activeCell="N35" sqref="N35"/>
    </sheetView>
  </sheetViews>
  <sheetFormatPr defaultColWidth="8.6640625" defaultRowHeight="14.4" x14ac:dyDescent="0.3"/>
  <cols>
    <col min="1" max="1" width="1.88671875" customWidth="1"/>
    <col min="7" max="8" width="9.6640625" customWidth="1"/>
    <col min="9" max="11" width="10.5546875" customWidth="1"/>
  </cols>
  <sheetData>
    <row r="2" spans="2:11" x14ac:dyDescent="0.3">
      <c r="B2" s="89" t="s">
        <v>238</v>
      </c>
      <c r="C2" s="89"/>
      <c r="D2" s="89"/>
      <c r="E2" s="89"/>
      <c r="F2" s="89"/>
      <c r="G2" s="110">
        <f>'Raw FS'!J$3</f>
        <v>44621</v>
      </c>
      <c r="H2" s="110">
        <f>'Raw FS'!K$3</f>
        <v>44986</v>
      </c>
      <c r="I2" s="110">
        <f>'Raw FS'!L$3</f>
        <v>45352</v>
      </c>
      <c r="J2" s="110">
        <f>'Raw FS'!M$3</f>
        <v>45717</v>
      </c>
      <c r="K2" s="110">
        <f>'Raw FS'!N$3</f>
        <v>46082</v>
      </c>
    </row>
    <row r="4" spans="2:11" x14ac:dyDescent="0.3">
      <c r="B4" s="2" t="s">
        <v>239</v>
      </c>
    </row>
    <row r="5" spans="2:11" x14ac:dyDescent="0.3">
      <c r="B5" s="111" t="str">
        <f>'Raw FS'!B38</f>
        <v>Inventories</v>
      </c>
      <c r="C5" s="111"/>
      <c r="D5" s="111"/>
      <c r="E5" s="111"/>
      <c r="F5" s="111"/>
      <c r="G5" s="112">
        <f>'Raw FS'!J38</f>
        <v>48824</v>
      </c>
      <c r="H5" s="112">
        <f>'Raw FS'!K38</f>
        <v>54415</v>
      </c>
      <c r="I5" s="112">
        <f>'Raw FS'!L38</f>
        <v>49158</v>
      </c>
      <c r="J5" s="112">
        <f>'Raw FS'!M38</f>
        <v>44590</v>
      </c>
      <c r="K5" s="112">
        <f>'Raw FS'!N38</f>
        <v>47249</v>
      </c>
    </row>
    <row r="6" spans="2:11" x14ac:dyDescent="0.3">
      <c r="B6" s="111" t="str">
        <f>'Raw FS'!B39</f>
        <v>Trade receivables +</v>
      </c>
      <c r="C6" s="111"/>
      <c r="D6" s="111"/>
      <c r="E6" s="111"/>
      <c r="F6" s="111"/>
      <c r="G6" s="112">
        <f>'Raw FS'!J39</f>
        <v>12246</v>
      </c>
      <c r="H6" s="112">
        <f>'Raw FS'!K39</f>
        <v>8257</v>
      </c>
      <c r="I6" s="112">
        <f>'Raw FS'!L39</f>
        <v>6264</v>
      </c>
      <c r="J6" s="112">
        <f>'Raw FS'!M39</f>
        <v>5260</v>
      </c>
      <c r="K6" s="112">
        <f>'Raw FS'!N39</f>
        <v>4917</v>
      </c>
    </row>
    <row r="7" spans="2:11" x14ac:dyDescent="0.3">
      <c r="B7" s="111" t="str">
        <f>'Raw FS'!B40</f>
        <v>Cash Equivalents</v>
      </c>
      <c r="C7" s="111"/>
      <c r="D7" s="111"/>
      <c r="E7" s="111"/>
      <c r="F7" s="111"/>
      <c r="G7" s="112">
        <f>'Raw FS'!J40</f>
        <v>15899</v>
      </c>
      <c r="H7" s="112">
        <f>'Raw FS'!K40</f>
        <v>13357</v>
      </c>
      <c r="I7" s="112">
        <f>'Raw FS'!L40</f>
        <v>8678</v>
      </c>
      <c r="J7" s="112">
        <f>'Raw FS'!M40</f>
        <v>11647</v>
      </c>
      <c r="K7" s="112">
        <f>'Raw FS'!N40</f>
        <v>10058</v>
      </c>
    </row>
    <row r="8" spans="2:11" x14ac:dyDescent="0.3">
      <c r="B8" s="111" t="str">
        <f>'Raw FS'!B41</f>
        <v>Loans n Advances</v>
      </c>
      <c r="C8" s="111"/>
      <c r="D8" s="111"/>
      <c r="E8" s="111"/>
      <c r="F8" s="111"/>
      <c r="G8" s="112">
        <f>'Raw FS'!J41</f>
        <v>-158</v>
      </c>
      <c r="H8" s="112">
        <f>'Raw FS'!K41</f>
        <v>-90</v>
      </c>
      <c r="I8" s="112">
        <f>'Raw FS'!L41</f>
        <v>-56</v>
      </c>
      <c r="J8" s="112">
        <f>'Raw FS'!M41</f>
        <v>49</v>
      </c>
      <c r="K8" s="112">
        <f>'Raw FS'!N41</f>
        <v>1167</v>
      </c>
    </row>
    <row r="9" spans="2:11" x14ac:dyDescent="0.3">
      <c r="B9" t="str">
        <f>'Raw FS'!B42</f>
        <v>Other asset items</v>
      </c>
      <c r="G9" s="113">
        <f>'Raw FS'!J42</f>
        <v>37137</v>
      </c>
      <c r="H9" s="113">
        <f>'Raw FS'!K42</f>
        <v>23211</v>
      </c>
      <c r="I9" s="113">
        <f>'Raw FS'!L42</f>
        <v>15842</v>
      </c>
      <c r="J9" s="113">
        <f>'Raw FS'!M42</f>
        <v>15182</v>
      </c>
      <c r="K9" s="113">
        <f>'Raw FS'!N42</f>
        <v>17630</v>
      </c>
    </row>
    <row r="10" spans="2:11" ht="15" customHeight="1" x14ac:dyDescent="0.3">
      <c r="B10" s="170" t="s">
        <v>240</v>
      </c>
      <c r="C10" s="170"/>
      <c r="D10" s="170"/>
      <c r="E10" s="170"/>
      <c r="F10" s="170"/>
      <c r="G10" s="171">
        <f>SUM(G5:G9)</f>
        <v>113948</v>
      </c>
      <c r="H10" s="171">
        <f>SUM(H5:H9)</f>
        <v>99150</v>
      </c>
      <c r="I10" s="171">
        <f>SUM(I5:I9)</f>
        <v>79886</v>
      </c>
      <c r="J10" s="171">
        <f>SUM(J5:J9)</f>
        <v>76728</v>
      </c>
      <c r="K10" s="171">
        <f>SUM(K5:K9)</f>
        <v>81021</v>
      </c>
    </row>
    <row r="11" spans="2:11" ht="15" customHeight="1" x14ac:dyDescent="0.3">
      <c r="G11" s="113"/>
      <c r="H11" s="113"/>
      <c r="I11" s="113"/>
      <c r="J11" s="113"/>
      <c r="K11" s="113"/>
    </row>
    <row r="12" spans="2:11" x14ac:dyDescent="0.3">
      <c r="B12" s="2" t="s">
        <v>241</v>
      </c>
      <c r="G12" s="113"/>
      <c r="H12" s="113"/>
      <c r="I12" s="113"/>
      <c r="J12" s="113"/>
      <c r="K12" s="113"/>
    </row>
    <row r="13" spans="2:11" x14ac:dyDescent="0.3">
      <c r="B13" s="111" t="str">
        <f>'Raw FS'!B15</f>
        <v>Trade Payables</v>
      </c>
      <c r="C13" s="111"/>
      <c r="D13" s="111"/>
      <c r="E13" s="111"/>
      <c r="F13" s="111"/>
      <c r="G13" s="112">
        <f>'Raw FS'!J15</f>
        <v>36765</v>
      </c>
      <c r="H13" s="112">
        <f>'Raw FS'!K15</f>
        <v>37833</v>
      </c>
      <c r="I13" s="112">
        <f>'Raw FS'!L15</f>
        <v>30228</v>
      </c>
      <c r="J13" s="112">
        <f>'Raw FS'!M15</f>
        <v>29314</v>
      </c>
      <c r="K13" s="112">
        <f>'Raw FS'!N15</f>
        <v>34810</v>
      </c>
    </row>
    <row r="14" spans="2:11" x14ac:dyDescent="0.3">
      <c r="B14" s="111" t="str">
        <f>'Raw FS'!B16</f>
        <v>Advance from Customers</v>
      </c>
      <c r="C14" s="111"/>
      <c r="D14" s="111"/>
      <c r="E14" s="111"/>
      <c r="F14" s="111"/>
      <c r="G14" s="112">
        <f>'Raw FS'!J16</f>
        <v>3253</v>
      </c>
      <c r="H14" s="112">
        <f>'Raw FS'!K16</f>
        <v>3394</v>
      </c>
      <c r="I14" s="112">
        <f>'Raw FS'!L16</f>
        <v>2771</v>
      </c>
      <c r="J14" s="112">
        <f>'Raw FS'!M16</f>
        <v>1655</v>
      </c>
      <c r="K14" s="112">
        <f>'Raw FS'!N16</f>
        <v>2222</v>
      </c>
    </row>
    <row r="15" spans="2:11" x14ac:dyDescent="0.3">
      <c r="B15" s="111" t="str">
        <f>'Raw FS'!B17</f>
        <v>Other liability items</v>
      </c>
      <c r="C15" s="111"/>
      <c r="D15" s="111"/>
      <c r="E15" s="111"/>
      <c r="F15" s="111"/>
      <c r="G15" s="112">
        <f>'Raw FS'!J17</f>
        <v>49744</v>
      </c>
      <c r="H15" s="112">
        <f>'Raw FS'!K17</f>
        <v>54101</v>
      </c>
      <c r="I15" s="112">
        <f>'Raw FS'!L17</f>
        <v>56799</v>
      </c>
      <c r="J15" s="112">
        <f>'Raw FS'!M17</f>
        <v>58335</v>
      </c>
      <c r="K15" s="112">
        <f>'Raw FS'!N17</f>
        <v>63320</v>
      </c>
    </row>
    <row r="16" spans="2:11" ht="15" customHeight="1" x14ac:dyDescent="0.3">
      <c r="B16" s="170" t="s">
        <v>242</v>
      </c>
      <c r="C16" s="170"/>
      <c r="D16" s="170"/>
      <c r="E16" s="170"/>
      <c r="F16" s="170"/>
      <c r="G16" s="171">
        <f>SUM(G13:G15)</f>
        <v>89762</v>
      </c>
      <c r="H16" s="171">
        <f>SUM(H13:H15)</f>
        <v>95328</v>
      </c>
      <c r="I16" s="171">
        <f>SUM(I13:I15)</f>
        <v>89798</v>
      </c>
      <c r="J16" s="171">
        <f>SUM(J13:J15)</f>
        <v>89304</v>
      </c>
      <c r="K16" s="171">
        <f>SUM(K13:K15)</f>
        <v>100352</v>
      </c>
    </row>
    <row r="17" spans="1:11" ht="15" customHeight="1" x14ac:dyDescent="0.3">
      <c r="G17" s="113"/>
      <c r="H17" s="113"/>
      <c r="I17" s="113"/>
      <c r="J17" s="113"/>
      <c r="K17" s="113"/>
    </row>
    <row r="18" spans="1:11" ht="15" customHeight="1" x14ac:dyDescent="0.3">
      <c r="A18" t="s">
        <v>64</v>
      </c>
      <c r="B18" s="160" t="s">
        <v>243</v>
      </c>
      <c r="C18" s="160"/>
      <c r="D18" s="160"/>
      <c r="E18" s="160"/>
      <c r="F18" s="160"/>
      <c r="G18" s="161">
        <f>G10-G16</f>
        <v>24186</v>
      </c>
      <c r="H18" s="161">
        <f>H10-H16</f>
        <v>3822</v>
      </c>
      <c r="I18" s="161">
        <f>I10-I16</f>
        <v>-9912</v>
      </c>
      <c r="J18" s="161">
        <f>J10-J16</f>
        <v>-12576</v>
      </c>
      <c r="K18" s="161">
        <f>K10-K16</f>
        <v>-19331</v>
      </c>
    </row>
    <row r="19" spans="1:11" ht="15" customHeight="1" x14ac:dyDescent="0.3">
      <c r="G19" s="113"/>
      <c r="H19" s="113"/>
      <c r="I19" s="113"/>
      <c r="J19" s="113"/>
      <c r="K19" s="113"/>
    </row>
    <row r="20" spans="1:11" x14ac:dyDescent="0.3">
      <c r="B20" s="2" t="s">
        <v>244</v>
      </c>
      <c r="E20" s="167"/>
      <c r="G20" s="113"/>
      <c r="H20" s="113"/>
      <c r="I20" s="113"/>
      <c r="J20" s="113"/>
      <c r="K20" s="113"/>
    </row>
    <row r="21" spans="1:11" x14ac:dyDescent="0.3">
      <c r="B21" s="111" t="str">
        <f>'Raw FS'!B21</f>
        <v>Land</v>
      </c>
      <c r="C21" s="111"/>
      <c r="D21" s="111"/>
      <c r="E21" s="162"/>
      <c r="F21" s="111"/>
      <c r="G21" s="112">
        <f>'Raw FS'!J21</f>
        <v>20770</v>
      </c>
      <c r="H21" s="112">
        <f>'Raw FS'!K21</f>
        <v>21701</v>
      </c>
      <c r="I21" s="112">
        <f>'Raw FS'!L21</f>
        <v>22067</v>
      </c>
      <c r="J21" s="112">
        <f>'Raw FS'!M21</f>
        <v>22299</v>
      </c>
      <c r="K21" s="112">
        <f>'Raw FS'!N21</f>
        <v>23659</v>
      </c>
    </row>
    <row r="22" spans="1:11" x14ac:dyDescent="0.3">
      <c r="B22" s="111" t="str">
        <f>'Raw FS'!B22</f>
        <v>Building</v>
      </c>
      <c r="C22" s="111"/>
      <c r="D22" s="111"/>
      <c r="E22" s="111"/>
      <c r="F22" s="111"/>
      <c r="G22" s="112">
        <f>'Raw FS'!J22</f>
        <v>27588</v>
      </c>
      <c r="H22" s="112">
        <f>'Raw FS'!K22</f>
        <v>28904</v>
      </c>
      <c r="I22" s="112">
        <f>'Raw FS'!L22</f>
        <v>30173</v>
      </c>
      <c r="J22" s="112">
        <f>'Raw FS'!M22</f>
        <v>31819</v>
      </c>
      <c r="K22" s="112">
        <f>'Raw FS'!N22</f>
        <v>36997</v>
      </c>
    </row>
    <row r="23" spans="1:11" x14ac:dyDescent="0.3">
      <c r="B23" s="111" t="str">
        <f>'Raw FS'!B23</f>
        <v>Plant Machinery</v>
      </c>
      <c r="C23" s="111"/>
      <c r="D23" s="111"/>
      <c r="E23" s="111"/>
      <c r="F23" s="111"/>
      <c r="G23" s="112">
        <f>'Raw FS'!J23</f>
        <v>152754</v>
      </c>
      <c r="H23" s="112">
        <f>'Raw FS'!K23</f>
        <v>163134</v>
      </c>
      <c r="I23" s="112">
        <f>'Raw FS'!L23</f>
        <v>175111</v>
      </c>
      <c r="J23" s="112">
        <f>'Raw FS'!M23</f>
        <v>186115</v>
      </c>
      <c r="K23" s="112">
        <f>'Raw FS'!N23</f>
        <v>224912</v>
      </c>
    </row>
    <row r="24" spans="1:11" x14ac:dyDescent="0.3">
      <c r="B24" s="111" t="str">
        <f>'Raw FS'!B24</f>
        <v>Equipments</v>
      </c>
      <c r="C24" s="111"/>
      <c r="D24" s="111"/>
      <c r="E24" s="111"/>
      <c r="F24" s="111"/>
      <c r="G24" s="112">
        <f>'Raw FS'!J24</f>
        <v>0</v>
      </c>
      <c r="H24" s="112">
        <f>'Raw FS'!K24</f>
        <v>0</v>
      </c>
      <c r="I24" s="112">
        <f>'Raw FS'!L24</f>
        <v>0</v>
      </c>
      <c r="J24" s="112">
        <f>'Raw FS'!M24</f>
        <v>0</v>
      </c>
      <c r="K24" s="112">
        <f>'Raw FS'!N24</f>
        <v>0</v>
      </c>
    </row>
    <row r="25" spans="1:11" x14ac:dyDescent="0.3">
      <c r="B25" s="111" t="str">
        <f>'Raw FS'!B25</f>
        <v>Furniture n fittings</v>
      </c>
      <c r="C25" s="111"/>
      <c r="D25" s="111"/>
      <c r="E25" s="111"/>
      <c r="F25" s="111"/>
      <c r="G25" s="112">
        <f>'Raw FS'!J25</f>
        <v>991</v>
      </c>
      <c r="H25" s="112">
        <f>'Raw FS'!K25</f>
        <v>1111</v>
      </c>
      <c r="I25" s="112">
        <f>'Raw FS'!L25</f>
        <v>1238</v>
      </c>
      <c r="J25" s="112">
        <f>'Raw FS'!M25</f>
        <v>1298</v>
      </c>
      <c r="K25" s="112">
        <f>'Raw FS'!N25</f>
        <v>1429</v>
      </c>
    </row>
    <row r="26" spans="1:11" x14ac:dyDescent="0.3">
      <c r="B26" s="111" t="str">
        <f>'Raw FS'!B26</f>
        <v>Railway sidings</v>
      </c>
      <c r="C26" s="111"/>
      <c r="D26" s="111"/>
      <c r="E26" s="111"/>
      <c r="F26" s="111"/>
      <c r="G26" s="112">
        <f>'Raw FS'!J26</f>
        <v>1780</v>
      </c>
      <c r="H26" s="112">
        <f>'Raw FS'!K26</f>
        <v>1841</v>
      </c>
      <c r="I26" s="112">
        <f>'Raw FS'!L26</f>
        <v>1872</v>
      </c>
      <c r="J26" s="112">
        <f>'Raw FS'!M26</f>
        <v>1890</v>
      </c>
      <c r="K26" s="112">
        <f>'Raw FS'!N26</f>
        <v>2384</v>
      </c>
    </row>
    <row r="27" spans="1:11" x14ac:dyDescent="0.3">
      <c r="B27" s="111" t="str">
        <f>'Raw FS'!B27</f>
        <v>Vehicles</v>
      </c>
      <c r="C27" s="111"/>
      <c r="D27" s="111"/>
      <c r="E27" s="111"/>
      <c r="F27" s="111"/>
      <c r="G27" s="112">
        <f>'Raw FS'!J27</f>
        <v>686</v>
      </c>
      <c r="H27" s="112">
        <f>'Raw FS'!K27</f>
        <v>749</v>
      </c>
      <c r="I27" s="112">
        <f>'Raw FS'!L27</f>
        <v>794</v>
      </c>
      <c r="J27" s="112">
        <f>'Raw FS'!M27</f>
        <v>830</v>
      </c>
      <c r="K27" s="112">
        <f>'Raw FS'!N27</f>
        <v>978</v>
      </c>
    </row>
    <row r="28" spans="1:11" x14ac:dyDescent="0.3">
      <c r="B28" s="111" t="str">
        <f>'Raw FS'!B28</f>
        <v>Intangible Assets</v>
      </c>
      <c r="C28" s="111"/>
      <c r="D28" s="111"/>
      <c r="E28" s="111"/>
      <c r="F28" s="111"/>
      <c r="G28" s="112">
        <f>'Raw FS'!J28</f>
        <v>6229</v>
      </c>
      <c r="H28" s="112">
        <f>'Raw FS'!K28</f>
        <v>7572</v>
      </c>
      <c r="I28" s="112">
        <f>'Raw FS'!L28</f>
        <v>7772</v>
      </c>
      <c r="J28" s="112">
        <f>'Raw FS'!M28</f>
        <v>7896</v>
      </c>
      <c r="K28" s="112">
        <f>'Raw FS'!N28</f>
        <v>10230</v>
      </c>
    </row>
    <row r="29" spans="1:11" x14ac:dyDescent="0.3">
      <c r="B29" s="111" t="str">
        <f>'Raw FS'!B29</f>
        <v>Other fixed assets</v>
      </c>
      <c r="C29" s="114"/>
      <c r="D29" s="114"/>
      <c r="E29" s="114"/>
      <c r="F29" s="114"/>
      <c r="G29" s="112">
        <f>'Raw FS'!J29</f>
        <v>10953</v>
      </c>
      <c r="H29" s="112">
        <f>'Raw FS'!K29</f>
        <v>20384</v>
      </c>
      <c r="I29" s="112">
        <f>'Raw FS'!L29</f>
        <v>20546</v>
      </c>
      <c r="J29" s="112">
        <f>'Raw FS'!M29</f>
        <v>20881</v>
      </c>
      <c r="K29" s="112">
        <f>'Raw FS'!N29</f>
        <v>22389</v>
      </c>
    </row>
    <row r="30" spans="1:11" x14ac:dyDescent="0.3">
      <c r="B30" s="115" t="s">
        <v>245</v>
      </c>
      <c r="C30" s="115"/>
      <c r="D30" s="115"/>
      <c r="E30" s="115"/>
      <c r="F30" s="115"/>
      <c r="G30" s="116">
        <f>SUM(G21:G29)</f>
        <v>221751</v>
      </c>
      <c r="H30" s="116">
        <f>SUM(H21:H29)</f>
        <v>245396</v>
      </c>
      <c r="I30" s="116">
        <f>SUM(I21:I29)</f>
        <v>259573</v>
      </c>
      <c r="J30" s="116">
        <f>SUM(J21:J29)</f>
        <v>273028</v>
      </c>
      <c r="K30" s="116">
        <f>SUM(K21:K29)</f>
        <v>322978</v>
      </c>
    </row>
    <row r="31" spans="1:11" x14ac:dyDescent="0.3">
      <c r="B31" t="s">
        <v>246</v>
      </c>
      <c r="G31" s="113">
        <f>-'Raw FS'!J31</f>
        <v>-88464</v>
      </c>
      <c r="H31" s="113">
        <f>-'Raw FS'!K31</f>
        <v>-98773</v>
      </c>
      <c r="I31" s="113">
        <f>-'Raw FS'!L31</f>
        <v>-110758</v>
      </c>
      <c r="J31" s="113">
        <f>-'Raw FS'!M31</f>
        <v>-122114</v>
      </c>
      <c r="K31" s="113">
        <f>-'Raw FS'!N31</f>
        <v>-143070</v>
      </c>
    </row>
    <row r="32" spans="1:11" ht="15" customHeight="1" x14ac:dyDescent="0.3">
      <c r="B32" s="170" t="s">
        <v>247</v>
      </c>
      <c r="C32" s="170"/>
      <c r="D32" s="170"/>
      <c r="E32" s="170"/>
      <c r="F32" s="170"/>
      <c r="G32" s="171">
        <f>SUM(G30:G31)</f>
        <v>133287</v>
      </c>
      <c r="H32" s="171">
        <f>SUM(H30:H31)</f>
        <v>146623</v>
      </c>
      <c r="I32" s="171">
        <f>SUM(I30:I31)</f>
        <v>148815</v>
      </c>
      <c r="J32" s="171">
        <f>SUM(J30:J31)</f>
        <v>150914</v>
      </c>
      <c r="K32" s="171">
        <f>SUM(K30:K31)</f>
        <v>179908</v>
      </c>
    </row>
    <row r="33" spans="1:11" ht="15" customHeight="1" x14ac:dyDescent="0.3">
      <c r="G33" s="113"/>
      <c r="H33" s="113"/>
      <c r="I33" s="113"/>
      <c r="J33" s="113"/>
      <c r="K33" s="113"/>
    </row>
    <row r="34" spans="1:11" x14ac:dyDescent="0.3">
      <c r="A34" t="s">
        <v>64</v>
      </c>
      <c r="B34" s="172" t="s">
        <v>248</v>
      </c>
      <c r="C34" s="172"/>
      <c r="D34" s="172"/>
      <c r="E34" s="172"/>
      <c r="F34" s="172"/>
      <c r="G34" s="173">
        <f>G32+G18</f>
        <v>157473</v>
      </c>
      <c r="H34" s="173">
        <f>H32+H18</f>
        <v>150445</v>
      </c>
      <c r="I34" s="173">
        <f>I32+I18</f>
        <v>138903</v>
      </c>
      <c r="J34" s="173">
        <f>J32+J18</f>
        <v>138338</v>
      </c>
      <c r="K34" s="173">
        <f>K32+K18</f>
        <v>160577</v>
      </c>
    </row>
    <row r="35" spans="1:11" x14ac:dyDescent="0.3">
      <c r="B35" s="163" t="s">
        <v>249</v>
      </c>
      <c r="C35" s="52"/>
      <c r="D35" s="52"/>
      <c r="E35" s="52"/>
      <c r="F35" s="52"/>
      <c r="G35" s="164">
        <f>'Data Sheet'!G28+'Data Sheet'!G27</f>
        <v>55689.07</v>
      </c>
      <c r="H35" s="164">
        <f>'Data Sheet'!H28+'Data Sheet'!H27</f>
        <v>24533.82</v>
      </c>
      <c r="I35" s="164">
        <f>'Data Sheet'!I28+'Data Sheet'!I27</f>
        <v>6360.53</v>
      </c>
      <c r="J35" s="164">
        <f>'Data Sheet'!J28+'Data Sheet'!J27</f>
        <v>15753.82</v>
      </c>
      <c r="K35" s="164">
        <f>'Data Sheet'!K28+'Data Sheet'!K27</f>
        <v>23135.75</v>
      </c>
    </row>
    <row r="37" spans="1:11" ht="15" customHeight="1" x14ac:dyDescent="0.3">
      <c r="A37" t="s">
        <v>64</v>
      </c>
      <c r="B37" s="160" t="s">
        <v>250</v>
      </c>
      <c r="C37" s="165"/>
      <c r="D37" s="165"/>
      <c r="E37" s="165"/>
      <c r="F37" s="165"/>
      <c r="G37" s="166">
        <f>G35/G34</f>
        <v>0.35364202117188343</v>
      </c>
      <c r="H37" s="166">
        <f>H35/H34</f>
        <v>0.1630750108012895</v>
      </c>
      <c r="I37" s="166">
        <f>I35/I34</f>
        <v>4.579116361777643E-2</v>
      </c>
      <c r="J37" s="166">
        <f>J35/J34</f>
        <v>0.11387919443681417</v>
      </c>
      <c r="K37" s="166">
        <f>K35/K34</f>
        <v>0.14407885313587873</v>
      </c>
    </row>
    <row r="38" spans="1:11" ht="15" customHeight="1" x14ac:dyDescent="0.3"/>
    <row r="40" spans="1:11" x14ac:dyDescent="0.3">
      <c r="B40" s="89" t="s">
        <v>251</v>
      </c>
      <c r="C40" s="89"/>
      <c r="D40" s="89"/>
      <c r="E40" s="89"/>
      <c r="F40" s="89"/>
      <c r="G40" s="110">
        <f>'Raw FS'!J$3</f>
        <v>44621</v>
      </c>
      <c r="H40" s="110">
        <f>'Raw FS'!K$3</f>
        <v>44986</v>
      </c>
      <c r="I40" s="110">
        <f>'Raw FS'!L$3</f>
        <v>45352</v>
      </c>
      <c r="J40" s="110">
        <f>'Raw FS'!M$3</f>
        <v>45717</v>
      </c>
      <c r="K40" s="110">
        <f>'Raw FS'!N$3</f>
        <v>46082</v>
      </c>
    </row>
    <row r="42" spans="1:11" x14ac:dyDescent="0.3">
      <c r="B42" s="111" t="s">
        <v>252</v>
      </c>
      <c r="C42" s="111"/>
      <c r="D42" s="111"/>
      <c r="E42" s="111"/>
      <c r="F42" s="111"/>
      <c r="G42" s="112">
        <f>-SUM('Raw FS'!J59:J60)</f>
        <v>9953</v>
      </c>
      <c r="H42" s="112">
        <f>-SUM('Raw FS'!K59:K60)</f>
        <v>13814</v>
      </c>
      <c r="I42" s="112">
        <f>-SUM('Raw FS'!L59:L60)</f>
        <v>17732</v>
      </c>
      <c r="J42" s="112">
        <f>-SUM('Raw FS'!M59:M60)</f>
        <v>14407</v>
      </c>
      <c r="K42" s="112">
        <f>-SUM('Raw FS'!N59:N60)</f>
        <v>13158</v>
      </c>
    </row>
    <row r="43" spans="1:11" x14ac:dyDescent="0.3">
      <c r="B43" s="111" t="s">
        <v>253</v>
      </c>
      <c r="C43" s="111"/>
      <c r="D43" s="111"/>
      <c r="E43" s="111"/>
      <c r="F43" s="111"/>
      <c r="G43" s="112"/>
      <c r="H43" s="112">
        <f>H18-G18</f>
        <v>-20364</v>
      </c>
      <c r="I43" s="112">
        <f>I18-H18</f>
        <v>-13734</v>
      </c>
      <c r="J43" s="112">
        <f>J18-I18</f>
        <v>-2664</v>
      </c>
      <c r="K43" s="112">
        <f>K18-J18</f>
        <v>-6755</v>
      </c>
    </row>
    <row r="44" spans="1:11" x14ac:dyDescent="0.3">
      <c r="B44" s="111"/>
      <c r="C44" s="111"/>
      <c r="D44" s="111"/>
      <c r="E44" s="111"/>
      <c r="F44" s="111"/>
      <c r="G44" s="112"/>
      <c r="H44" s="112"/>
      <c r="I44" s="112"/>
      <c r="J44" s="112"/>
      <c r="K44" s="112"/>
    </row>
    <row r="45" spans="1:11" x14ac:dyDescent="0.3">
      <c r="B45" s="111" t="s">
        <v>249</v>
      </c>
      <c r="C45" s="111"/>
      <c r="D45" s="111"/>
      <c r="E45" s="111"/>
      <c r="F45" s="111"/>
      <c r="G45" s="112">
        <f>G35</f>
        <v>55689.07</v>
      </c>
      <c r="H45" s="112">
        <f>H35</f>
        <v>24533.82</v>
      </c>
      <c r="I45" s="112">
        <f>I35</f>
        <v>6360.53</v>
      </c>
      <c r="J45" s="112">
        <f>J35</f>
        <v>15753.82</v>
      </c>
      <c r="K45" s="112">
        <f>K35</f>
        <v>23135.75</v>
      </c>
    </row>
    <row r="46" spans="1:11" x14ac:dyDescent="0.3">
      <c r="B46" s="111" t="s">
        <v>254</v>
      </c>
      <c r="C46" s="111"/>
      <c r="D46" s="111"/>
      <c r="E46" s="111"/>
      <c r="F46" s="111"/>
      <c r="G46" s="117">
        <v>0.25</v>
      </c>
      <c r="H46" s="117">
        <v>0.25</v>
      </c>
      <c r="I46" s="117">
        <v>0.25</v>
      </c>
      <c r="J46" s="117">
        <v>0.25</v>
      </c>
      <c r="K46" s="117">
        <v>0.25</v>
      </c>
    </row>
    <row r="47" spans="1:11" x14ac:dyDescent="0.3">
      <c r="B47" s="111" t="s">
        <v>255</v>
      </c>
      <c r="C47" s="111"/>
      <c r="D47" s="111"/>
      <c r="E47" s="111"/>
      <c r="F47" s="111"/>
      <c r="G47" s="112">
        <f>G45*(1-G46)</f>
        <v>41766.802499999998</v>
      </c>
      <c r="H47" s="112">
        <f>H45*(1-H46)</f>
        <v>18400.364999999998</v>
      </c>
      <c r="I47" s="112">
        <f>I45*(1-I46)</f>
        <v>4770.3975</v>
      </c>
      <c r="J47" s="112">
        <f>J45*(1-J46)</f>
        <v>11815.365</v>
      </c>
      <c r="K47" s="112">
        <f>K45*(1-K46)</f>
        <v>17351.8125</v>
      </c>
    </row>
    <row r="48" spans="1:11" x14ac:dyDescent="0.3">
      <c r="B48" s="111"/>
      <c r="C48" s="111"/>
      <c r="D48" s="111"/>
      <c r="E48" s="111"/>
      <c r="F48" s="111"/>
      <c r="G48" s="112"/>
      <c r="H48" s="112"/>
      <c r="I48" s="112"/>
      <c r="J48" s="112"/>
      <c r="K48" s="112"/>
    </row>
    <row r="49" spans="1:11" x14ac:dyDescent="0.3">
      <c r="B49" s="111" t="s">
        <v>256</v>
      </c>
      <c r="C49" s="111"/>
      <c r="D49" s="111"/>
      <c r="E49" s="111"/>
      <c r="F49" s="111"/>
      <c r="G49" s="112"/>
      <c r="H49" s="112">
        <f>SUM(H42:H43)</f>
        <v>-6550</v>
      </c>
      <c r="I49" s="112">
        <f>SUM(I42:I43)</f>
        <v>3998</v>
      </c>
      <c r="J49" s="112">
        <f>SUM(J42:J43)</f>
        <v>11743</v>
      </c>
      <c r="K49" s="112">
        <f>SUM(K42:K43)</f>
        <v>6403</v>
      </c>
    </row>
    <row r="50" spans="1:11" ht="3.75" customHeight="1" x14ac:dyDescent="0.3">
      <c r="G50" s="113"/>
      <c r="H50" s="113"/>
      <c r="I50" s="113"/>
      <c r="J50" s="113"/>
      <c r="K50" s="113"/>
    </row>
    <row r="51" spans="1:11" ht="15" customHeight="1" x14ac:dyDescent="0.3">
      <c r="B51" s="160" t="s">
        <v>257</v>
      </c>
      <c r="C51" s="165"/>
      <c r="D51" s="165"/>
      <c r="E51" s="165"/>
      <c r="F51" s="165"/>
      <c r="G51" s="165"/>
      <c r="H51" s="168">
        <f>H49/H47</f>
        <v>-0.35597119948435807</v>
      </c>
      <c r="I51" s="168">
        <f>I49/I47</f>
        <v>0.83808529582702485</v>
      </c>
      <c r="J51" s="168">
        <f>J49/J47</f>
        <v>0.99387534790503718</v>
      </c>
      <c r="K51" s="168">
        <f>K49/K47</f>
        <v>0.36901044199273131</v>
      </c>
    </row>
    <row r="52" spans="1:11" ht="15" customHeight="1" x14ac:dyDescent="0.3"/>
    <row r="53" spans="1:11" x14ac:dyDescent="0.3">
      <c r="I53" s="118" t="s">
        <v>258</v>
      </c>
      <c r="J53" s="118"/>
      <c r="K53" s="119">
        <f>AVERAGE(H51:K51)</f>
        <v>0.46124997156010883</v>
      </c>
    </row>
    <row r="54" spans="1:11" x14ac:dyDescent="0.3">
      <c r="I54" s="118" t="s">
        <v>259</v>
      </c>
      <c r="J54" s="118"/>
      <c r="K54" s="119">
        <f>MEDIAN(H51:K51)</f>
        <v>0.6035478689098781</v>
      </c>
    </row>
    <row r="56" spans="1:11" x14ac:dyDescent="0.3">
      <c r="B56" s="89" t="s">
        <v>260</v>
      </c>
      <c r="C56" s="89"/>
      <c r="D56" s="89"/>
      <c r="E56" s="89"/>
      <c r="F56" s="89"/>
      <c r="G56" s="110">
        <f>'Raw FS'!J$3</f>
        <v>44621</v>
      </c>
      <c r="H56" s="110">
        <f>'Raw FS'!K$3</f>
        <v>44986</v>
      </c>
      <c r="I56" s="110">
        <f>'Raw FS'!L$3</f>
        <v>45352</v>
      </c>
      <c r="J56" s="110">
        <f>'Raw FS'!M$3</f>
        <v>45717</v>
      </c>
      <c r="K56" s="110">
        <f>'Raw FS'!N$3</f>
        <v>46082</v>
      </c>
    </row>
    <row r="58" spans="1:11" x14ac:dyDescent="0.3">
      <c r="B58" s="111" t="s">
        <v>257</v>
      </c>
      <c r="C58" s="111"/>
      <c r="D58" s="111"/>
      <c r="E58" s="111"/>
      <c r="F58" s="111"/>
      <c r="G58" s="111"/>
      <c r="H58" s="120">
        <f>H51</f>
        <v>-0.35597119948435807</v>
      </c>
      <c r="I58" s="120">
        <f>I51</f>
        <v>0.83808529582702485</v>
      </c>
      <c r="J58" s="120">
        <f>J51</f>
        <v>0.99387534790503718</v>
      </c>
      <c r="K58" s="120">
        <f>K51</f>
        <v>0.36901044199273131</v>
      </c>
    </row>
    <row r="59" spans="1:11" x14ac:dyDescent="0.3">
      <c r="B59" s="111" t="s">
        <v>261</v>
      </c>
      <c r="C59" s="111"/>
      <c r="D59" s="111"/>
      <c r="E59" s="111"/>
      <c r="F59" s="111"/>
      <c r="G59" s="120">
        <f>G37</f>
        <v>0.35364202117188343</v>
      </c>
      <c r="H59" s="120">
        <f>H37</f>
        <v>0.1630750108012895</v>
      </c>
      <c r="I59" s="120">
        <f>I37</f>
        <v>4.579116361777643E-2</v>
      </c>
      <c r="J59" s="120">
        <f>J37</f>
        <v>0.11387919443681417</v>
      </c>
      <c r="K59" s="120">
        <f>K37</f>
        <v>0.14407885313587873</v>
      </c>
    </row>
    <row r="60" spans="1:11" ht="3.75" customHeight="1" x14ac:dyDescent="0.3"/>
    <row r="61" spans="1:11" ht="15" customHeight="1" x14ac:dyDescent="0.3">
      <c r="A61" t="s">
        <v>64</v>
      </c>
      <c r="B61" s="160" t="s">
        <v>262</v>
      </c>
      <c r="C61" s="165"/>
      <c r="D61" s="165"/>
      <c r="E61" s="165"/>
      <c r="F61" s="165"/>
      <c r="G61" s="165"/>
      <c r="H61" s="169">
        <f>H58*H59</f>
        <v>-5.805000720085967E-2</v>
      </c>
      <c r="I61" s="169">
        <f>I58*I59</f>
        <v>3.8376900906867857E-2</v>
      </c>
      <c r="J61" s="169">
        <f>J58*J59</f>
        <v>0.11318172399003405</v>
      </c>
      <c r="K61" s="169">
        <f>K58*K59</f>
        <v>5.3166601277476432E-2</v>
      </c>
    </row>
    <row r="62" spans="1:11" ht="15" customHeight="1" x14ac:dyDescent="0.3"/>
    <row r="63" spans="1:11" x14ac:dyDescent="0.3">
      <c r="I63" s="118" t="s">
        <v>258</v>
      </c>
      <c r="J63" s="118"/>
      <c r="K63" s="119">
        <f>AVERAGE(H61:K61)</f>
        <v>3.666880474337967E-2</v>
      </c>
    </row>
    <row r="64" spans="1:11" x14ac:dyDescent="0.3">
      <c r="I64" s="118" t="s">
        <v>259</v>
      </c>
      <c r="J64" s="118"/>
      <c r="K64" s="119">
        <f>MEDIAN(H61:K61)</f>
        <v>4.5771751092172144E-2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K40"/>
  <sheetViews>
    <sheetView showGridLines="0" zoomScaleNormal="100" workbookViewId="0">
      <selection activeCell="N20" sqref="N20"/>
    </sheetView>
  </sheetViews>
  <sheetFormatPr defaultColWidth="8.6640625" defaultRowHeight="14.4" outlineLevelRow="1" x14ac:dyDescent="0.3"/>
  <cols>
    <col min="1" max="1" width="1.88671875" customWidth="1"/>
    <col min="3" max="3" width="14.109375" customWidth="1"/>
    <col min="4" max="4" width="21.33203125" customWidth="1"/>
    <col min="6" max="9" width="9.5546875" customWidth="1"/>
    <col min="10" max="10" width="9" customWidth="1"/>
  </cols>
  <sheetData>
    <row r="2" spans="2:11" x14ac:dyDescent="0.3">
      <c r="B2" s="89" t="s">
        <v>263</v>
      </c>
      <c r="C2" s="89"/>
      <c r="D2" s="89"/>
      <c r="E2" s="89"/>
      <c r="F2" s="121">
        <f>'Intrinsic Growth'!K2</f>
        <v>46082</v>
      </c>
      <c r="G2" s="122">
        <f>F2+365</f>
        <v>46447</v>
      </c>
      <c r="H2" s="122">
        <f>G2+366</f>
        <v>46813</v>
      </c>
      <c r="I2" s="122">
        <f>H2+365</f>
        <v>47178</v>
      </c>
      <c r="J2" s="122">
        <f>I2+365</f>
        <v>47543</v>
      </c>
      <c r="K2" s="122">
        <f>J2+365</f>
        <v>47908</v>
      </c>
    </row>
    <row r="4" spans="2:11" x14ac:dyDescent="0.3">
      <c r="B4" s="123" t="s">
        <v>249</v>
      </c>
      <c r="C4" s="123"/>
      <c r="D4" s="123"/>
      <c r="E4" s="123"/>
      <c r="F4" s="124">
        <f>FM!F14</f>
        <v>24377.170000000006</v>
      </c>
      <c r="G4" s="125">
        <f>F4*(1+$D$15)</f>
        <v>25474.142650000005</v>
      </c>
      <c r="H4" s="125">
        <f>G4*(1+$D$15)</f>
        <v>26620.479069250003</v>
      </c>
      <c r="I4" s="125">
        <f>H4*(1+$D$15)</f>
        <v>27818.400627366253</v>
      </c>
      <c r="J4" s="125">
        <f>I4*(1+$D$15)</f>
        <v>29070.228655597733</v>
      </c>
      <c r="K4" s="125">
        <f>J4*(1+$D$15)</f>
        <v>30378.388945099628</v>
      </c>
    </row>
    <row r="5" spans="2:11" x14ac:dyDescent="0.3">
      <c r="B5" s="123" t="s">
        <v>264</v>
      </c>
      <c r="C5" s="123"/>
      <c r="D5" s="123"/>
      <c r="E5" s="123"/>
      <c r="F5" s="126">
        <v>0.25</v>
      </c>
      <c r="G5" s="127">
        <v>0.25</v>
      </c>
      <c r="H5" s="127">
        <v>0.25</v>
      </c>
      <c r="I5" s="127">
        <v>0.25</v>
      </c>
      <c r="J5" s="127">
        <v>0.25</v>
      </c>
      <c r="K5" s="127">
        <v>0.25</v>
      </c>
    </row>
    <row r="6" spans="2:11" x14ac:dyDescent="0.3">
      <c r="B6" s="123" t="s">
        <v>265</v>
      </c>
      <c r="C6" s="123"/>
      <c r="D6" s="123"/>
      <c r="E6" s="123"/>
      <c r="F6" s="124">
        <f t="shared" ref="F6:K6" si="0">F4*(1-F5)</f>
        <v>18282.877500000002</v>
      </c>
      <c r="G6" s="125">
        <f t="shared" si="0"/>
        <v>19105.606987500003</v>
      </c>
      <c r="H6" s="125">
        <f t="shared" si="0"/>
        <v>19965.359301937504</v>
      </c>
      <c r="I6" s="125">
        <f t="shared" si="0"/>
        <v>20863.800470524689</v>
      </c>
      <c r="J6" s="125">
        <f t="shared" si="0"/>
        <v>21802.6714916983</v>
      </c>
      <c r="K6" s="125">
        <f t="shared" si="0"/>
        <v>22783.79170882472</v>
      </c>
    </row>
    <row r="7" spans="2:11" x14ac:dyDescent="0.3">
      <c r="B7" s="123" t="s">
        <v>266</v>
      </c>
      <c r="C7" s="123"/>
      <c r="D7" s="123"/>
      <c r="E7" s="123"/>
      <c r="F7" s="128">
        <f>'Intrinsic Growth'!K54</f>
        <v>0.6035478689098781</v>
      </c>
      <c r="G7" s="129">
        <f>F7</f>
        <v>0.6035478689098781</v>
      </c>
      <c r="H7" s="129">
        <f>G7</f>
        <v>0.6035478689098781</v>
      </c>
      <c r="I7" s="129">
        <f>H7</f>
        <v>0.6035478689098781</v>
      </c>
      <c r="J7" s="129">
        <f>I7</f>
        <v>0.6035478689098781</v>
      </c>
      <c r="K7" s="129">
        <f>J7</f>
        <v>0.6035478689098781</v>
      </c>
    </row>
    <row r="8" spans="2:11" x14ac:dyDescent="0.3">
      <c r="B8" s="179" t="s">
        <v>267</v>
      </c>
      <c r="C8" s="123"/>
      <c r="D8" s="123"/>
      <c r="E8" s="123"/>
      <c r="F8" s="124">
        <f t="shared" ref="F8:K8" si="1">F6*(1-F7)</f>
        <v>7248.2857473346412</v>
      </c>
      <c r="G8" s="125">
        <f t="shared" si="1"/>
        <v>7574.4586059646999</v>
      </c>
      <c r="H8" s="125">
        <f t="shared" si="1"/>
        <v>7915.3092432331123</v>
      </c>
      <c r="I8" s="125">
        <f t="shared" si="1"/>
        <v>8271.4981591786018</v>
      </c>
      <c r="J8" s="125">
        <f t="shared" si="1"/>
        <v>8643.7155763416376</v>
      </c>
      <c r="K8" s="125">
        <f t="shared" si="1"/>
        <v>9032.6827772770102</v>
      </c>
    </row>
    <row r="9" spans="2:11" x14ac:dyDescent="0.3">
      <c r="B9" s="123" t="s">
        <v>268</v>
      </c>
      <c r="C9" s="123"/>
      <c r="D9" s="123"/>
      <c r="E9" s="123"/>
      <c r="F9" s="130"/>
      <c r="G9" s="131">
        <v>0.5</v>
      </c>
      <c r="H9" s="123">
        <f>G9+1</f>
        <v>1.5</v>
      </c>
      <c r="I9" s="123">
        <f>H9+1</f>
        <v>2.5</v>
      </c>
      <c r="J9" s="123">
        <f>I9+1</f>
        <v>3.5</v>
      </c>
      <c r="K9" s="123">
        <f>J9+1</f>
        <v>4.5</v>
      </c>
    </row>
    <row r="10" spans="2:11" x14ac:dyDescent="0.3">
      <c r="B10" s="123" t="s">
        <v>269</v>
      </c>
      <c r="C10" s="123"/>
      <c r="D10" s="123"/>
      <c r="E10" s="123"/>
      <c r="F10" s="130"/>
      <c r="G10" s="132">
        <f>1/(1+$D$16)^G9</f>
        <v>0.93739845728693949</v>
      </c>
      <c r="H10" s="132">
        <f>1/(1+$D$16)^H9</f>
        <v>0.82370689879796988</v>
      </c>
      <c r="I10" s="132">
        <f>1/(1+$D$16)^I9</f>
        <v>0.72380432232744885</v>
      </c>
      <c r="J10" s="132">
        <f>1/(1+$D$16)^J9</f>
        <v>0.63601834315629813</v>
      </c>
      <c r="K10" s="132">
        <f>1/(1+$D$16)^K9</f>
        <v>0.55887941029492527</v>
      </c>
    </row>
    <row r="11" spans="2:11" ht="3" customHeight="1" x14ac:dyDescent="0.3">
      <c r="F11" s="133"/>
    </row>
    <row r="12" spans="2:11" ht="15" customHeight="1" x14ac:dyDescent="0.3">
      <c r="B12" s="160" t="s">
        <v>270</v>
      </c>
      <c r="C12" s="165"/>
      <c r="D12" s="165"/>
      <c r="E12" s="165"/>
      <c r="F12" s="174"/>
      <c r="G12" s="175">
        <f>G8*G10</f>
        <v>7100.2858120150922</v>
      </c>
      <c r="H12" s="175">
        <f>H8*H10</f>
        <v>6519.8948297704528</v>
      </c>
      <c r="I12" s="175">
        <f>I8*I10</f>
        <v>5986.9461197370083</v>
      </c>
      <c r="J12" s="175">
        <f>J8*J10</f>
        <v>5497.5616595790952</v>
      </c>
      <c r="K12" s="175">
        <f>K8*K10</f>
        <v>5048.1804239457033</v>
      </c>
    </row>
    <row r="13" spans="2:11" ht="15" customHeight="1" x14ac:dyDescent="0.3"/>
    <row r="14" spans="2:11" outlineLevel="1" x14ac:dyDescent="0.3">
      <c r="B14" s="133" t="s">
        <v>271</v>
      </c>
      <c r="C14" s="133"/>
      <c r="D14" s="134">
        <f>'Intrinsic Growth'!K64</f>
        <v>4.5771751092172144E-2</v>
      </c>
    </row>
    <row r="15" spans="2:11" outlineLevel="1" x14ac:dyDescent="0.3">
      <c r="B15" s="133" t="s">
        <v>272</v>
      </c>
      <c r="C15" s="133"/>
      <c r="D15" s="83">
        <v>4.4999999999999998E-2</v>
      </c>
    </row>
    <row r="16" spans="2:11" outlineLevel="1" x14ac:dyDescent="0.3">
      <c r="B16" s="133" t="s">
        <v>188</v>
      </c>
      <c r="C16" s="133"/>
      <c r="D16" s="83">
        <f>WACC!K41</f>
        <v>0.13802428831769981</v>
      </c>
    </row>
    <row r="18" spans="2:10" x14ac:dyDescent="0.3">
      <c r="B18" s="88" t="s">
        <v>273</v>
      </c>
      <c r="C18" s="88"/>
      <c r="D18" s="88"/>
      <c r="E18" s="135"/>
      <c r="F18" s="88" t="s">
        <v>274</v>
      </c>
      <c r="G18" s="88"/>
      <c r="H18" s="88"/>
      <c r="I18" s="88"/>
      <c r="J18" s="88"/>
    </row>
    <row r="19" spans="2:10" x14ac:dyDescent="0.3">
      <c r="F19" s="136">
        <f>D30</f>
        <v>86862.236241728795</v>
      </c>
      <c r="G19" s="137">
        <v>0.1</v>
      </c>
      <c r="H19" s="13">
        <f>D21</f>
        <v>0.13802428831769981</v>
      </c>
      <c r="I19" s="137">
        <v>0.15</v>
      </c>
      <c r="J19" s="137">
        <v>0.18</v>
      </c>
    </row>
    <row r="20" spans="2:10" x14ac:dyDescent="0.3">
      <c r="B20" t="s">
        <v>275</v>
      </c>
      <c r="D20">
        <f>K8*(1+D15)</f>
        <v>9439.1535022544758</v>
      </c>
      <c r="F20" s="138">
        <v>0.03</v>
      </c>
      <c r="G20" s="139">
        <v>105514.99088823699</v>
      </c>
      <c r="H20" s="139">
        <f>G8/(1+H$19)^0.5+H8/(1+H$19)^1.5+I8/(1+H$19)^2.5+J8/(1+H$19)^3.5+K8/(1+H$19)^4.5+K8*(1+$F20)/(H$19-$F20)/(1+H$19)^4.5</f>
        <v>78286.727606254426</v>
      </c>
      <c r="I20" s="139">
        <v>74114.106703574595</v>
      </c>
      <c r="J20" s="139">
        <v>65321.859131869103</v>
      </c>
    </row>
    <row r="21" spans="2:10" x14ac:dyDescent="0.3">
      <c r="B21" t="s">
        <v>188</v>
      </c>
      <c r="D21" s="12">
        <f>D16</f>
        <v>0.13802428831769981</v>
      </c>
      <c r="F21" s="140">
        <v>4.4999999999999998E-2</v>
      </c>
      <c r="G21" s="139">
        <v>118075.34456210199</v>
      </c>
      <c r="H21" s="155">
        <f>G8/(1+H$19)^0.5+H8/(1+H$19)^1.5+I8/(1+H$19)^2.5+J8/(1+H$19)^3.5+K8/(1+H$19)^4.5+K8*(1+$F21)/(H$19-$F21)/(1+H$19)^4.5</f>
        <v>86862.236241728795</v>
      </c>
      <c r="I21" s="139">
        <v>78110.582872531595</v>
      </c>
      <c r="J21" s="139">
        <v>67833.929866642095</v>
      </c>
    </row>
    <row r="22" spans="2:10" x14ac:dyDescent="0.3">
      <c r="B22" t="s">
        <v>276</v>
      </c>
      <c r="D22" s="12">
        <f>D15</f>
        <v>4.4999999999999998E-2</v>
      </c>
      <c r="F22" s="138">
        <v>0.05</v>
      </c>
      <c r="G22" s="139">
        <v>135659.839705513</v>
      </c>
      <c r="H22" s="139">
        <f>G8/(1+H$19)^0.5+H8/(1+H$19)^1.5+I8/(1+H$19)^2.5+J8/(1+H$19)^3.5+K8/(1+H$19)^4.5+K8*(1+$F22)/(H$19-$F22)/(1+H$19)^4.5</f>
        <v>90370.219606372993</v>
      </c>
      <c r="I22" s="139">
        <v>82906.354275279999</v>
      </c>
      <c r="J22" s="139">
        <v>70732.473022149396</v>
      </c>
    </row>
    <row r="23" spans="2:10" x14ac:dyDescent="0.3">
      <c r="F23" s="138">
        <v>0.06</v>
      </c>
      <c r="G23" s="139">
        <v>180877.112931426</v>
      </c>
      <c r="H23" s="154">
        <f>G8/(1+H$19)^0.5+H8/(1+H$19)^1.5+I8/(1+H$19)^2.5+J8/(1+H$19)^3.5+K8/(1+H$19)^4.5+K8*(1+$F23)/(H$19-$F23)/(1+H$19)^4.5</f>
        <v>98734.990704255062</v>
      </c>
      <c r="I23" s="139">
        <v>92215.792880615205</v>
      </c>
      <c r="J23" s="139">
        <v>76025.464871336604</v>
      </c>
    </row>
    <row r="24" spans="2:10" ht="15" customHeight="1" x14ac:dyDescent="0.3">
      <c r="B24" s="160" t="s">
        <v>277</v>
      </c>
      <c r="C24" s="160"/>
      <c r="D24" s="176">
        <f>D20/(D21-D22)</f>
        <v>101469.77389407752</v>
      </c>
      <c r="F24" s="138">
        <v>7.0000000000000007E-2</v>
      </c>
      <c r="G24" s="139">
        <v>205997.820279156</v>
      </c>
      <c r="H24" s="139">
        <f>G8/(1+H$19)^0.5+H8/(1+H$19)^1.5+I8/(1+H$19)^2.5+J8/(1+H$19)^3.5+K8/(1+H$19)^4.5+K8*(1+$F24)/(H$19-$F24)/(1+H$19)^4.5</f>
        <v>109559.11016277428</v>
      </c>
      <c r="I24" s="139">
        <v>96094.725632838206</v>
      </c>
      <c r="J24" s="139">
        <v>78110.582872531595</v>
      </c>
    </row>
    <row r="25" spans="2:10" ht="15" customHeight="1" x14ac:dyDescent="0.3"/>
    <row r="26" spans="2:10" x14ac:dyDescent="0.3">
      <c r="B26" s="88" t="s">
        <v>278</v>
      </c>
      <c r="C26" s="88"/>
      <c r="D26" s="88"/>
    </row>
    <row r="28" spans="2:10" x14ac:dyDescent="0.3">
      <c r="B28" t="s">
        <v>270</v>
      </c>
      <c r="D28" s="141">
        <f>SUM(G12:K12)</f>
        <v>30152.868845047349</v>
      </c>
    </row>
    <row r="29" spans="2:10" x14ac:dyDescent="0.3">
      <c r="B29" t="s">
        <v>279</v>
      </c>
      <c r="D29" s="141">
        <f>D24*K10</f>
        <v>56709.367396681446</v>
      </c>
    </row>
    <row r="30" spans="2:10" x14ac:dyDescent="0.3">
      <c r="B30" s="2" t="s">
        <v>280</v>
      </c>
      <c r="C30" s="2"/>
      <c r="D30" s="141">
        <f>SUM(D28:D29)</f>
        <v>86862.236241728795</v>
      </c>
    </row>
    <row r="31" spans="2:10" x14ac:dyDescent="0.3">
      <c r="D31" s="141"/>
    </row>
    <row r="32" spans="2:10" x14ac:dyDescent="0.3">
      <c r="B32" t="s">
        <v>281</v>
      </c>
      <c r="D32" s="141">
        <f>'Data Sheet'!K69</f>
        <v>10057.530000000001</v>
      </c>
    </row>
    <row r="33" spans="2:5" x14ac:dyDescent="0.3">
      <c r="B33" t="s">
        <v>282</v>
      </c>
      <c r="D33" s="141">
        <f>'Raw FS'!N8+'Raw FS'!N9</f>
        <v>84957</v>
      </c>
      <c r="E33" s="142" t="s">
        <v>283</v>
      </c>
    </row>
    <row r="34" spans="2:5" x14ac:dyDescent="0.3">
      <c r="B34" s="2" t="s">
        <v>284</v>
      </c>
      <c r="C34" s="2"/>
      <c r="D34" s="143">
        <f>D30+D32-D33</f>
        <v>11962.766241728794</v>
      </c>
    </row>
    <row r="35" spans="2:5" x14ac:dyDescent="0.3">
      <c r="B35" t="s">
        <v>285</v>
      </c>
      <c r="D35" s="46">
        <f>'Data Sheet'!B6</f>
        <v>1247.5527453416148</v>
      </c>
    </row>
    <row r="36" spans="2:5" ht="4.5" customHeight="1" x14ac:dyDescent="0.3"/>
    <row r="37" spans="2:5" ht="15" customHeight="1" x14ac:dyDescent="0.3">
      <c r="B37" s="160" t="s">
        <v>286</v>
      </c>
      <c r="C37" s="160"/>
      <c r="D37" s="176">
        <f>D34/D35</f>
        <v>9.5889863465877383</v>
      </c>
    </row>
    <row r="38" spans="2:5" ht="15" customHeight="1" x14ac:dyDescent="0.3"/>
    <row r="39" spans="2:5" x14ac:dyDescent="0.3">
      <c r="B39" s="177" t="s">
        <v>287</v>
      </c>
      <c r="C39" s="177"/>
      <c r="D39" s="177">
        <v>196</v>
      </c>
    </row>
    <row r="40" spans="2:5" x14ac:dyDescent="0.3">
      <c r="B40" s="177" t="s">
        <v>288</v>
      </c>
      <c r="C40" s="177"/>
      <c r="D40" s="178">
        <f>D39/D37</f>
        <v>20.440116704279909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</sheetPr>
  <dimension ref="A1"/>
  <sheetViews>
    <sheetView zoomScaleNormal="100" workbookViewId="0">
      <selection activeCell="I27" sqref="I27"/>
    </sheetView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3"/>
  <sheetViews>
    <sheetView zoomScale="65" zoomScaleNormal="156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05" sqref="F105"/>
    </sheetView>
  </sheetViews>
  <sheetFormatPr defaultColWidth="8.77734375" defaultRowHeight="14.4" x14ac:dyDescent="0.3"/>
  <cols>
    <col min="1" max="1" width="27.6640625" style="8" customWidth="1"/>
    <col min="2" max="2" width="16" style="8" bestFit="1" customWidth="1"/>
    <col min="3" max="7" width="17.21875" style="8" bestFit="1" customWidth="1"/>
    <col min="8" max="11" width="18.44140625" style="8" bestFit="1" customWidth="1"/>
    <col min="12" max="16384" width="8.77734375" style="8"/>
  </cols>
  <sheetData>
    <row r="1" spans="1:11" s="7" customFormat="1" x14ac:dyDescent="0.3">
      <c r="A1" s="7" t="s">
        <v>289</v>
      </c>
      <c r="B1" s="7" t="s">
        <v>290</v>
      </c>
      <c r="E1" s="208" t="str">
        <f>IF(B2&lt;&gt;B3, "A NEW VERSION OF THE WORKSHEET IS AVAILABLE", "")</f>
        <v/>
      </c>
      <c r="F1" s="208"/>
      <c r="G1" s="208"/>
      <c r="H1" s="208"/>
      <c r="I1" s="208"/>
      <c r="J1" s="208"/>
      <c r="K1" s="208"/>
    </row>
    <row r="2" spans="1:11" x14ac:dyDescent="0.3">
      <c r="A2" s="7" t="s">
        <v>291</v>
      </c>
      <c r="B2" s="8">
        <v>2.1</v>
      </c>
      <c r="E2" s="209" t="s">
        <v>292</v>
      </c>
      <c r="F2" s="209"/>
      <c r="G2" s="209"/>
      <c r="H2" s="209"/>
      <c r="I2" s="209"/>
      <c r="J2" s="209"/>
      <c r="K2" s="209"/>
    </row>
    <row r="3" spans="1:11" x14ac:dyDescent="0.3">
      <c r="A3" s="7" t="s">
        <v>293</v>
      </c>
      <c r="B3" s="8">
        <v>2.1</v>
      </c>
    </row>
    <row r="4" spans="1:11" x14ac:dyDescent="0.3">
      <c r="A4" s="7"/>
    </row>
    <row r="5" spans="1:11" x14ac:dyDescent="0.3">
      <c r="A5" s="7" t="s">
        <v>294</v>
      </c>
    </row>
    <row r="6" spans="1:11" x14ac:dyDescent="0.3">
      <c r="A6" s="8" t="s">
        <v>295</v>
      </c>
      <c r="B6" s="8">
        <f>IF(B9&gt;0, B9/B8, 0)</f>
        <v>1247.5527453416148</v>
      </c>
    </row>
    <row r="7" spans="1:11" x14ac:dyDescent="0.3">
      <c r="A7" s="8" t="s">
        <v>296</v>
      </c>
      <c r="B7" s="8">
        <v>1</v>
      </c>
    </row>
    <row r="8" spans="1:11" x14ac:dyDescent="0.3">
      <c r="A8" s="8" t="s">
        <v>297</v>
      </c>
      <c r="B8" s="8">
        <v>201.25</v>
      </c>
    </row>
    <row r="9" spans="1:11" x14ac:dyDescent="0.3">
      <c r="A9" s="8" t="s">
        <v>175</v>
      </c>
      <c r="B9" s="8">
        <v>251069.99</v>
      </c>
    </row>
    <row r="15" spans="1:11" x14ac:dyDescent="0.3">
      <c r="A15" s="7" t="s">
        <v>298</v>
      </c>
    </row>
    <row r="16" spans="1:11" s="145" customFormat="1" x14ac:dyDescent="0.3">
      <c r="A16" s="144" t="s">
        <v>299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x14ac:dyDescent="0.3">
      <c r="A17" s="8" t="s">
        <v>5</v>
      </c>
      <c r="B17" s="8">
        <v>112299.42</v>
      </c>
      <c r="C17" s="8">
        <v>123249.07</v>
      </c>
      <c r="D17" s="8">
        <v>157668.99</v>
      </c>
      <c r="E17" s="8">
        <v>139816.65</v>
      </c>
      <c r="F17" s="8">
        <v>156477.4</v>
      </c>
      <c r="G17" s="8">
        <v>243959.17</v>
      </c>
      <c r="H17" s="8">
        <v>243352.69</v>
      </c>
      <c r="I17" s="8">
        <v>229170.78</v>
      </c>
      <c r="J17" s="8">
        <v>218542.51</v>
      </c>
      <c r="K17" s="8">
        <v>232139.94</v>
      </c>
    </row>
    <row r="18" spans="1:11" x14ac:dyDescent="0.3">
      <c r="A18" s="8" t="s">
        <v>300</v>
      </c>
      <c r="B18" s="8">
        <v>43843.03</v>
      </c>
      <c r="C18" s="8">
        <v>46137.01</v>
      </c>
      <c r="D18" s="8">
        <v>60877.05</v>
      </c>
      <c r="E18" s="8">
        <v>58039.99</v>
      </c>
      <c r="F18" s="8">
        <v>55100.81</v>
      </c>
      <c r="G18" s="8">
        <v>91076.61</v>
      </c>
      <c r="H18" s="8">
        <v>116597.19</v>
      </c>
      <c r="I18" s="8">
        <v>97506.39</v>
      </c>
      <c r="J18" s="8">
        <v>95097.3</v>
      </c>
      <c r="K18" s="8">
        <v>92628.07</v>
      </c>
    </row>
    <row r="19" spans="1:11" x14ac:dyDescent="0.3">
      <c r="A19" s="8" t="s">
        <v>301</v>
      </c>
      <c r="B19" s="8">
        <v>4538.13</v>
      </c>
      <c r="C19" s="8">
        <v>-99.31</v>
      </c>
      <c r="D19" s="8">
        <v>96.71</v>
      </c>
      <c r="E19" s="8">
        <v>565.24</v>
      </c>
      <c r="F19" s="8">
        <v>-1516.77</v>
      </c>
      <c r="G19" s="8">
        <v>7597.87</v>
      </c>
      <c r="H19" s="8">
        <v>3358.89</v>
      </c>
      <c r="I19" s="8">
        <v>-4409.3500000000004</v>
      </c>
      <c r="J19" s="8">
        <v>96.65</v>
      </c>
      <c r="K19" s="8">
        <v>-989.62</v>
      </c>
    </row>
    <row r="20" spans="1:11" x14ac:dyDescent="0.3">
      <c r="A20" s="8" t="s">
        <v>302</v>
      </c>
      <c r="B20" s="8">
        <v>5220.83</v>
      </c>
      <c r="C20" s="8">
        <v>4440.43</v>
      </c>
      <c r="D20" s="8">
        <v>5316.56</v>
      </c>
      <c r="E20" s="8">
        <v>5319.92</v>
      </c>
      <c r="F20" s="8">
        <v>5708.42</v>
      </c>
      <c r="G20" s="8">
        <v>8028.29</v>
      </c>
      <c r="H20" s="8">
        <v>9526.91</v>
      </c>
      <c r="I20" s="8">
        <v>16612.61</v>
      </c>
      <c r="J20" s="8">
        <v>13124.85</v>
      </c>
      <c r="K20" s="8">
        <v>14333.15</v>
      </c>
    </row>
    <row r="21" spans="1:11" x14ac:dyDescent="0.3">
      <c r="A21" s="8" t="s">
        <v>303</v>
      </c>
      <c r="B21" s="8">
        <v>15799.14</v>
      </c>
      <c r="C21" s="8">
        <v>16955.79</v>
      </c>
      <c r="D21" s="8">
        <v>20734.28</v>
      </c>
      <c r="E21" s="8">
        <v>21232.69</v>
      </c>
      <c r="F21" s="8">
        <v>20744.93</v>
      </c>
      <c r="G21" s="8">
        <v>28834.06</v>
      </c>
      <c r="H21" s="8">
        <v>33144.83</v>
      </c>
      <c r="I21" s="8">
        <v>40116.910000000003</v>
      </c>
      <c r="J21" s="8">
        <v>38700.5</v>
      </c>
      <c r="K21" s="8">
        <v>37485.96</v>
      </c>
    </row>
    <row r="22" spans="1:11" x14ac:dyDescent="0.3">
      <c r="A22" s="8" t="s">
        <v>304</v>
      </c>
      <c r="B22" s="8">
        <v>17252.22</v>
      </c>
      <c r="C22" s="8">
        <v>17077.509999999998</v>
      </c>
      <c r="D22" s="8">
        <v>18758.87</v>
      </c>
      <c r="E22" s="8">
        <v>18533.580000000002</v>
      </c>
      <c r="F22" s="8">
        <v>19908.810000000001</v>
      </c>
      <c r="G22" s="8">
        <v>23264.1</v>
      </c>
      <c r="H22" s="8">
        <v>22419.32</v>
      </c>
      <c r="I22" s="8">
        <v>24509.58</v>
      </c>
      <c r="J22" s="8">
        <v>24888.99</v>
      </c>
      <c r="K22" s="8">
        <v>25998.98</v>
      </c>
    </row>
    <row r="23" spans="1:11" x14ac:dyDescent="0.3">
      <c r="A23" s="8" t="s">
        <v>305</v>
      </c>
      <c r="B23" s="8">
        <v>13772.32</v>
      </c>
      <c r="C23" s="8">
        <v>14423.87</v>
      </c>
      <c r="D23" s="8">
        <v>16917.14</v>
      </c>
      <c r="E23" s="8">
        <v>15599.07</v>
      </c>
      <c r="F23" s="8">
        <v>17509.77</v>
      </c>
      <c r="G23" s="8">
        <v>27445.67</v>
      </c>
      <c r="H23" s="8">
        <v>25519.919999999998</v>
      </c>
      <c r="I23" s="8">
        <v>14453.57</v>
      </c>
      <c r="J23" s="8">
        <v>12137.26</v>
      </c>
      <c r="K23" s="8">
        <v>13348.99</v>
      </c>
    </row>
    <row r="24" spans="1:11" x14ac:dyDescent="0.3">
      <c r="A24" s="8" t="s">
        <v>69</v>
      </c>
      <c r="B24" s="8">
        <v>7806.38</v>
      </c>
      <c r="C24" s="8">
        <v>2681.96</v>
      </c>
      <c r="D24" s="8">
        <v>5843.58</v>
      </c>
      <c r="E24" s="8">
        <v>4193.58</v>
      </c>
      <c r="F24" s="8">
        <v>5483.63</v>
      </c>
      <c r="G24" s="8">
        <v>9418.36</v>
      </c>
      <c r="H24" s="8">
        <v>7203.25</v>
      </c>
      <c r="I24" s="8">
        <v>9314.4500000000007</v>
      </c>
      <c r="J24" s="8">
        <v>9391.81</v>
      </c>
      <c r="K24" s="8">
        <v>13002.73</v>
      </c>
    </row>
    <row r="25" spans="1:11" x14ac:dyDescent="0.3">
      <c r="A25" s="8" t="s">
        <v>8</v>
      </c>
      <c r="B25" s="8">
        <v>-3789.11</v>
      </c>
      <c r="C25" s="8">
        <v>10898.41</v>
      </c>
      <c r="D25" s="8">
        <v>1524.31</v>
      </c>
      <c r="E25" s="8">
        <v>-2883.63</v>
      </c>
      <c r="F25" s="8">
        <v>179.78</v>
      </c>
      <c r="G25" s="8">
        <v>1299.99</v>
      </c>
      <c r="H25" s="8">
        <v>1568.86</v>
      </c>
      <c r="I25" s="8">
        <v>-6005.23</v>
      </c>
      <c r="J25" s="8">
        <v>876.7</v>
      </c>
      <c r="K25" s="8">
        <v>737.82</v>
      </c>
    </row>
    <row r="26" spans="1:11" x14ac:dyDescent="0.3">
      <c r="A26" s="8" t="s">
        <v>9</v>
      </c>
      <c r="B26" s="8">
        <v>5672.88</v>
      </c>
      <c r="C26" s="8">
        <v>5741.7</v>
      </c>
      <c r="D26" s="8">
        <v>7341.83</v>
      </c>
      <c r="E26" s="8">
        <v>8440.73</v>
      </c>
      <c r="F26" s="8">
        <v>9233.64</v>
      </c>
      <c r="G26" s="8">
        <v>9100.8700000000008</v>
      </c>
      <c r="H26" s="8">
        <v>9335.2000000000007</v>
      </c>
      <c r="I26" s="8">
        <v>9882.16</v>
      </c>
      <c r="J26" s="8">
        <v>10421.33</v>
      </c>
      <c r="K26" s="8">
        <v>11954.51</v>
      </c>
    </row>
    <row r="27" spans="1:11" x14ac:dyDescent="0.3">
      <c r="A27" s="8" t="s">
        <v>10</v>
      </c>
      <c r="B27" s="8">
        <v>5072.2</v>
      </c>
      <c r="C27" s="8">
        <v>5454.74</v>
      </c>
      <c r="D27" s="8">
        <v>7660.1</v>
      </c>
      <c r="E27" s="8">
        <v>7533.46</v>
      </c>
      <c r="F27" s="8">
        <v>7606.71</v>
      </c>
      <c r="G27" s="8">
        <v>5462.2</v>
      </c>
      <c r="H27" s="8">
        <v>6298.7</v>
      </c>
      <c r="I27" s="8">
        <v>7507.57</v>
      </c>
      <c r="J27" s="8">
        <v>7340.95</v>
      </c>
      <c r="K27" s="8">
        <v>7167.06</v>
      </c>
    </row>
    <row r="28" spans="1:11" x14ac:dyDescent="0.3">
      <c r="A28" s="8" t="s">
        <v>11</v>
      </c>
      <c r="B28" s="8">
        <v>-1390.56</v>
      </c>
      <c r="C28" s="8">
        <v>21135.16</v>
      </c>
      <c r="D28" s="8">
        <v>15840.6</v>
      </c>
      <c r="E28" s="8">
        <v>-1394.76</v>
      </c>
      <c r="F28" s="8">
        <v>13843.69</v>
      </c>
      <c r="G28" s="8">
        <v>50226.87</v>
      </c>
      <c r="H28" s="8">
        <v>18235.12</v>
      </c>
      <c r="I28" s="8">
        <v>-1147.04</v>
      </c>
      <c r="J28" s="8">
        <v>8412.8700000000008</v>
      </c>
      <c r="K28" s="8">
        <v>15968.69</v>
      </c>
    </row>
    <row r="29" spans="1:11" x14ac:dyDescent="0.3">
      <c r="A29" s="8" t="s">
        <v>12</v>
      </c>
      <c r="B29" s="8">
        <v>2778.01</v>
      </c>
      <c r="C29" s="8">
        <v>3392.33</v>
      </c>
      <c r="D29" s="8">
        <v>6718.43</v>
      </c>
      <c r="E29" s="8">
        <v>-2568.41</v>
      </c>
      <c r="F29" s="8">
        <v>5653.9</v>
      </c>
      <c r="G29" s="8">
        <v>8477.5499999999993</v>
      </c>
      <c r="H29" s="8">
        <v>10159.77</v>
      </c>
      <c r="I29" s="8">
        <v>3762.57</v>
      </c>
      <c r="J29" s="8">
        <v>5239.09</v>
      </c>
      <c r="K29" s="8">
        <v>5082.87</v>
      </c>
    </row>
    <row r="30" spans="1:11" x14ac:dyDescent="0.3">
      <c r="A30" s="8" t="s">
        <v>13</v>
      </c>
      <c r="B30" s="8">
        <v>-4240.8</v>
      </c>
      <c r="C30" s="8">
        <v>13434.33</v>
      </c>
      <c r="D30" s="8">
        <v>10218.33</v>
      </c>
      <c r="E30" s="8">
        <v>1556.54</v>
      </c>
      <c r="F30" s="8">
        <v>7490.22</v>
      </c>
      <c r="G30" s="8">
        <v>40153.93</v>
      </c>
      <c r="H30" s="8">
        <v>8760.4</v>
      </c>
      <c r="I30" s="8">
        <v>-4437.4399999999996</v>
      </c>
      <c r="J30" s="8">
        <v>3420.51</v>
      </c>
      <c r="K30" s="8">
        <v>10793.87</v>
      </c>
    </row>
    <row r="31" spans="1:11" x14ac:dyDescent="0.3">
      <c r="A31" s="8" t="s">
        <v>306</v>
      </c>
      <c r="B31" s="8">
        <v>970.24</v>
      </c>
      <c r="C31" s="8">
        <v>1144.95</v>
      </c>
      <c r="D31" s="8">
        <v>1488.42</v>
      </c>
      <c r="E31" s="8">
        <v>1144.95</v>
      </c>
      <c r="F31" s="8">
        <v>2994.02</v>
      </c>
      <c r="G31" s="8">
        <v>6228.17</v>
      </c>
      <c r="H31" s="8">
        <v>4396.46</v>
      </c>
      <c r="I31" s="8">
        <v>4490.78</v>
      </c>
      <c r="J31" s="8">
        <v>4490.78</v>
      </c>
      <c r="K31" s="8">
        <v>4989.76</v>
      </c>
    </row>
    <row r="40" spans="1:11" x14ac:dyDescent="0.3">
      <c r="A40" s="7" t="s">
        <v>307</v>
      </c>
    </row>
    <row r="41" spans="1:11" s="145" customFormat="1" x14ac:dyDescent="0.3">
      <c r="A41" s="144" t="s">
        <v>299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x14ac:dyDescent="0.3">
      <c r="A42" s="8" t="s">
        <v>5</v>
      </c>
      <c r="B42" s="8">
        <v>55311.88</v>
      </c>
      <c r="C42" s="8">
        <v>58687.31</v>
      </c>
      <c r="D42" s="8">
        <v>54771.39</v>
      </c>
      <c r="E42" s="8">
        <v>53904.71</v>
      </c>
      <c r="F42" s="8">
        <v>53648.3</v>
      </c>
      <c r="G42" s="8">
        <v>56218.11</v>
      </c>
      <c r="H42" s="8">
        <v>53178.12</v>
      </c>
      <c r="I42" s="8">
        <v>58689.29</v>
      </c>
      <c r="J42" s="8">
        <v>57002.400000000001</v>
      </c>
      <c r="K42" s="8">
        <v>63270.13</v>
      </c>
    </row>
    <row r="43" spans="1:11" x14ac:dyDescent="0.3">
      <c r="A43" s="8" t="s">
        <v>6</v>
      </c>
      <c r="B43" s="8">
        <v>49048.31</v>
      </c>
      <c r="C43" s="8">
        <v>52086.68</v>
      </c>
      <c r="D43" s="8">
        <v>48076.92</v>
      </c>
      <c r="E43" s="8">
        <v>47788.92</v>
      </c>
      <c r="F43" s="8">
        <v>47744.81</v>
      </c>
      <c r="G43" s="8">
        <v>49658.89</v>
      </c>
      <c r="H43" s="8">
        <v>45750.58</v>
      </c>
      <c r="I43" s="8">
        <v>49792.75</v>
      </c>
      <c r="J43" s="8">
        <v>48802.7</v>
      </c>
      <c r="K43" s="8">
        <v>53441.47</v>
      </c>
    </row>
    <row r="44" spans="1:11" x14ac:dyDescent="0.3">
      <c r="A44" s="8" t="s">
        <v>8</v>
      </c>
      <c r="B44" s="8">
        <v>-32.840000000000003</v>
      </c>
      <c r="C44" s="8">
        <v>-381.56</v>
      </c>
      <c r="D44" s="8">
        <v>-5.51</v>
      </c>
      <c r="E44" s="8">
        <v>616.67999999999995</v>
      </c>
      <c r="F44" s="8">
        <v>141.82</v>
      </c>
      <c r="G44" s="8">
        <v>149.19</v>
      </c>
      <c r="H44" s="8">
        <v>236.27</v>
      </c>
      <c r="I44" s="8">
        <v>-6.11</v>
      </c>
      <c r="J44" s="8">
        <v>465.17</v>
      </c>
      <c r="K44" s="8">
        <v>42.49</v>
      </c>
    </row>
    <row r="45" spans="1:11" x14ac:dyDescent="0.3">
      <c r="A45" s="8" t="s">
        <v>9</v>
      </c>
      <c r="B45" s="8">
        <v>2422.04</v>
      </c>
      <c r="C45" s="8">
        <v>2567.9499999999998</v>
      </c>
      <c r="D45" s="8">
        <v>2535.4299999999998</v>
      </c>
      <c r="E45" s="8">
        <v>2596.7399999999998</v>
      </c>
      <c r="F45" s="8">
        <v>2569.19</v>
      </c>
      <c r="G45" s="8">
        <v>2719.97</v>
      </c>
      <c r="H45" s="8">
        <v>2744.3</v>
      </c>
      <c r="I45" s="8">
        <v>2893</v>
      </c>
      <c r="J45" s="8">
        <v>3048.81</v>
      </c>
      <c r="K45" s="8">
        <v>3268.4</v>
      </c>
    </row>
    <row r="46" spans="1:11" x14ac:dyDescent="0.3">
      <c r="A46" s="8" t="s">
        <v>10</v>
      </c>
      <c r="B46" s="8">
        <v>1880.78</v>
      </c>
      <c r="C46" s="8">
        <v>1842.25</v>
      </c>
      <c r="D46" s="8">
        <v>1776.71</v>
      </c>
      <c r="E46" s="8">
        <v>1971.4</v>
      </c>
      <c r="F46" s="8">
        <v>1804.09</v>
      </c>
      <c r="G46" s="8">
        <v>1788.75</v>
      </c>
      <c r="H46" s="8">
        <v>1852.43</v>
      </c>
      <c r="I46" s="8">
        <v>1774.96</v>
      </c>
      <c r="J46" s="8">
        <v>1747.29</v>
      </c>
      <c r="K46" s="8">
        <v>1792.38</v>
      </c>
    </row>
    <row r="47" spans="1:11" x14ac:dyDescent="0.3">
      <c r="A47" s="8" t="s">
        <v>11</v>
      </c>
      <c r="B47" s="8">
        <v>1927.91</v>
      </c>
      <c r="C47" s="8">
        <v>1808.87</v>
      </c>
      <c r="D47" s="8">
        <v>2376.8200000000002</v>
      </c>
      <c r="E47" s="8">
        <v>2164.33</v>
      </c>
      <c r="F47" s="8">
        <v>1672.03</v>
      </c>
      <c r="G47" s="8">
        <v>2199.69</v>
      </c>
      <c r="H47" s="8">
        <v>3067.08</v>
      </c>
      <c r="I47" s="8">
        <v>4222.47</v>
      </c>
      <c r="J47" s="8">
        <v>3868.77</v>
      </c>
      <c r="K47" s="8">
        <v>4810.37</v>
      </c>
    </row>
    <row r="48" spans="1:11" x14ac:dyDescent="0.3">
      <c r="A48" s="8" t="s">
        <v>12</v>
      </c>
      <c r="B48" s="8">
        <v>1405.77</v>
      </c>
      <c r="C48" s="8">
        <v>1254.31</v>
      </c>
      <c r="D48" s="8">
        <v>1458.25</v>
      </c>
      <c r="E48" s="8">
        <v>1405.49</v>
      </c>
      <c r="F48" s="8">
        <v>1376.54</v>
      </c>
      <c r="G48" s="8">
        <v>998.81</v>
      </c>
      <c r="H48" s="8">
        <v>1059.72</v>
      </c>
      <c r="I48" s="8">
        <v>1039.3800000000001</v>
      </c>
      <c r="J48" s="8">
        <v>1138.4000000000001</v>
      </c>
      <c r="K48" s="8">
        <v>1845.37</v>
      </c>
    </row>
    <row r="49" spans="1:11" x14ac:dyDescent="0.3">
      <c r="A49" s="8" t="s">
        <v>13</v>
      </c>
      <c r="B49" s="8">
        <v>513.37</v>
      </c>
      <c r="C49" s="8">
        <v>611.48</v>
      </c>
      <c r="D49" s="8">
        <v>959.61</v>
      </c>
      <c r="E49" s="8">
        <v>833.45</v>
      </c>
      <c r="F49" s="8">
        <v>326.64</v>
      </c>
      <c r="G49" s="8">
        <v>1300.81</v>
      </c>
      <c r="H49" s="8">
        <v>2077.6799999999998</v>
      </c>
      <c r="I49" s="8">
        <v>3101.75</v>
      </c>
      <c r="J49" s="8">
        <v>2688.7</v>
      </c>
      <c r="K49" s="8">
        <v>2925.74</v>
      </c>
    </row>
    <row r="50" spans="1:11" x14ac:dyDescent="0.3">
      <c r="A50" s="8" t="s">
        <v>7</v>
      </c>
      <c r="B50" s="8">
        <v>6263.57</v>
      </c>
      <c r="C50" s="8">
        <v>6600.63</v>
      </c>
      <c r="D50" s="8">
        <v>6694.47</v>
      </c>
      <c r="E50" s="8">
        <v>6115.79</v>
      </c>
      <c r="F50" s="8">
        <v>5903.49</v>
      </c>
      <c r="G50" s="8">
        <v>6559.22</v>
      </c>
      <c r="H50" s="8">
        <v>7427.54</v>
      </c>
      <c r="I50" s="8">
        <v>8896.5400000000009</v>
      </c>
      <c r="J50" s="8">
        <v>8199.7000000000007</v>
      </c>
      <c r="K50" s="8">
        <v>9828.66</v>
      </c>
    </row>
    <row r="55" spans="1:11" x14ac:dyDescent="0.3">
      <c r="A55" s="7" t="s">
        <v>308</v>
      </c>
    </row>
    <row r="56" spans="1:11" s="145" customFormat="1" x14ac:dyDescent="0.3">
      <c r="A56" s="144" t="s">
        <v>299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">
      <c r="A57" s="8" t="s">
        <v>30</v>
      </c>
      <c r="B57" s="8">
        <v>970.24</v>
      </c>
      <c r="C57" s="8">
        <v>1144.95</v>
      </c>
      <c r="D57" s="8">
        <v>1144.94</v>
      </c>
      <c r="E57" s="8">
        <v>1144.95</v>
      </c>
      <c r="F57" s="8">
        <v>1197.6099999999999</v>
      </c>
      <c r="G57" s="8">
        <v>1221.21</v>
      </c>
      <c r="H57" s="8">
        <v>1221.24</v>
      </c>
      <c r="I57" s="8">
        <v>1247.44</v>
      </c>
      <c r="J57" s="8">
        <v>1247.44</v>
      </c>
      <c r="K57" s="8">
        <v>1247.44</v>
      </c>
    </row>
    <row r="58" spans="1:11" x14ac:dyDescent="0.3">
      <c r="A58" s="8" t="s">
        <v>31</v>
      </c>
      <c r="B58" s="8">
        <v>36849.08</v>
      </c>
      <c r="C58" s="8">
        <v>59725.67</v>
      </c>
      <c r="D58" s="8">
        <v>67780.14</v>
      </c>
      <c r="E58" s="8">
        <v>72431.350000000006</v>
      </c>
      <c r="F58" s="8">
        <v>73041.16</v>
      </c>
      <c r="G58" s="8">
        <v>113221.83</v>
      </c>
      <c r="H58" s="8">
        <v>101860.86</v>
      </c>
      <c r="I58" s="8">
        <v>90788.32</v>
      </c>
      <c r="J58" s="8">
        <v>89922.19</v>
      </c>
      <c r="K58" s="8">
        <v>100920.21</v>
      </c>
    </row>
    <row r="59" spans="1:11" x14ac:dyDescent="0.3">
      <c r="A59" s="8" t="s">
        <v>32</v>
      </c>
      <c r="B59" s="8">
        <v>83014.490000000005</v>
      </c>
      <c r="C59" s="8">
        <v>92147.05</v>
      </c>
      <c r="D59" s="8">
        <v>100816.22</v>
      </c>
      <c r="E59" s="8">
        <v>116328.2</v>
      </c>
      <c r="F59" s="8">
        <v>88501.41</v>
      </c>
      <c r="G59" s="8">
        <v>75561.350000000006</v>
      </c>
      <c r="H59" s="8">
        <v>84893.05</v>
      </c>
      <c r="I59" s="8">
        <v>87082.12</v>
      </c>
      <c r="J59" s="8">
        <v>94801.05</v>
      </c>
      <c r="K59" s="8">
        <v>92381.68</v>
      </c>
    </row>
    <row r="60" spans="1:11" x14ac:dyDescent="0.3">
      <c r="A60" s="8" t="s">
        <v>33</v>
      </c>
      <c r="B60" s="8">
        <v>51613.56</v>
      </c>
      <c r="C60" s="8">
        <v>55704.47</v>
      </c>
      <c r="D60" s="8">
        <v>63032.14</v>
      </c>
      <c r="E60" s="8">
        <v>59244.62</v>
      </c>
      <c r="F60" s="8">
        <v>81169.009999999995</v>
      </c>
      <c r="G60" s="8">
        <v>92417.279999999999</v>
      </c>
      <c r="H60" s="8">
        <v>97420.63</v>
      </c>
      <c r="I60" s="8">
        <v>90194.54</v>
      </c>
      <c r="J60" s="8">
        <v>89487.9</v>
      </c>
      <c r="K60" s="8">
        <v>101965.29</v>
      </c>
    </row>
    <row r="61" spans="1:11" s="7" customFormat="1" x14ac:dyDescent="0.3">
      <c r="A61" s="7" t="s">
        <v>34</v>
      </c>
      <c r="B61" s="7">
        <v>172447.37</v>
      </c>
      <c r="C61" s="7">
        <v>208722.14</v>
      </c>
      <c r="D61" s="7">
        <v>232773.44</v>
      </c>
      <c r="E61" s="7">
        <v>249149.12</v>
      </c>
      <c r="F61" s="7">
        <v>243909.19</v>
      </c>
      <c r="G61" s="7">
        <v>282421.67</v>
      </c>
      <c r="H61" s="7">
        <v>285395.78000000003</v>
      </c>
      <c r="I61" s="7">
        <v>269312.42</v>
      </c>
      <c r="J61" s="7">
        <v>275458.58</v>
      </c>
      <c r="K61" s="7">
        <v>296514.62</v>
      </c>
    </row>
    <row r="62" spans="1:11" x14ac:dyDescent="0.3">
      <c r="A62" s="8" t="s">
        <v>35</v>
      </c>
      <c r="B62" s="8">
        <v>92006.55</v>
      </c>
      <c r="C62" s="8">
        <v>96104.89</v>
      </c>
      <c r="D62" s="8">
        <v>124441.91</v>
      </c>
      <c r="E62" s="8">
        <v>134550.66</v>
      </c>
      <c r="F62" s="8">
        <v>135775.18</v>
      </c>
      <c r="G62" s="8">
        <v>133287.82999999999</v>
      </c>
      <c r="H62" s="8">
        <v>146621.46</v>
      </c>
      <c r="I62" s="8">
        <v>148814.38</v>
      </c>
      <c r="J62" s="8">
        <v>150914.06</v>
      </c>
      <c r="K62" s="8">
        <v>179908.13</v>
      </c>
    </row>
    <row r="63" spans="1:11" x14ac:dyDescent="0.3">
      <c r="A63" s="8" t="s">
        <v>36</v>
      </c>
      <c r="B63" s="8">
        <v>15784.13</v>
      </c>
      <c r="C63" s="8">
        <v>16614.41</v>
      </c>
      <c r="D63" s="8">
        <v>18641.21</v>
      </c>
      <c r="E63" s="8">
        <v>19496.830000000002</v>
      </c>
      <c r="F63" s="8">
        <v>19007.400000000001</v>
      </c>
      <c r="G63" s="8">
        <v>22045.55</v>
      </c>
      <c r="H63" s="8">
        <v>31213.02</v>
      </c>
      <c r="I63" s="8">
        <v>34355.53</v>
      </c>
      <c r="J63" s="8">
        <v>41622.35</v>
      </c>
      <c r="K63" s="8">
        <v>28496.71</v>
      </c>
    </row>
    <row r="64" spans="1:11" x14ac:dyDescent="0.3">
      <c r="A64" s="8" t="s">
        <v>37</v>
      </c>
      <c r="B64" s="8">
        <v>12457.12</v>
      </c>
      <c r="C64" s="8">
        <v>17899.47</v>
      </c>
      <c r="D64" s="8">
        <v>5738.17</v>
      </c>
      <c r="E64" s="8">
        <v>6285.18</v>
      </c>
      <c r="F64" s="8">
        <v>10681.93</v>
      </c>
      <c r="G64" s="8">
        <v>13139.85</v>
      </c>
      <c r="H64" s="8">
        <v>8410.31</v>
      </c>
      <c r="I64" s="8">
        <v>6257.57</v>
      </c>
      <c r="J64" s="8">
        <v>6194.11</v>
      </c>
      <c r="K64" s="8">
        <v>7088.85</v>
      </c>
    </row>
    <row r="65" spans="1:11" x14ac:dyDescent="0.3">
      <c r="A65" s="8" t="s">
        <v>38</v>
      </c>
      <c r="B65" s="8">
        <v>52199.57</v>
      </c>
      <c r="C65" s="8">
        <v>78103.37</v>
      </c>
      <c r="D65" s="8">
        <v>83952.15</v>
      </c>
      <c r="E65" s="8">
        <v>88816.45</v>
      </c>
      <c r="F65" s="8">
        <v>78444.679999999993</v>
      </c>
      <c r="G65" s="8">
        <v>113948.44</v>
      </c>
      <c r="H65" s="8">
        <v>99150.99</v>
      </c>
      <c r="I65" s="8">
        <v>79884.94</v>
      </c>
      <c r="J65" s="8">
        <v>76728.06</v>
      </c>
      <c r="K65" s="8">
        <v>81020.929999999993</v>
      </c>
    </row>
    <row r="66" spans="1:11" s="7" customFormat="1" x14ac:dyDescent="0.3">
      <c r="A66" s="7" t="s">
        <v>34</v>
      </c>
      <c r="B66" s="7">
        <v>172447.37</v>
      </c>
      <c r="C66" s="7">
        <v>208722.14</v>
      </c>
      <c r="D66" s="7">
        <v>232773.44</v>
      </c>
      <c r="E66" s="7">
        <v>249149.12</v>
      </c>
      <c r="F66" s="7">
        <v>243909.19</v>
      </c>
      <c r="G66" s="7">
        <v>282421.67</v>
      </c>
      <c r="H66" s="7">
        <v>285395.78000000003</v>
      </c>
      <c r="I66" s="7">
        <v>269312.42</v>
      </c>
      <c r="J66" s="7">
        <v>275458.58</v>
      </c>
      <c r="K66" s="7">
        <v>296514.62</v>
      </c>
    </row>
    <row r="67" spans="1:11" x14ac:dyDescent="0.3">
      <c r="A67" s="8" t="s">
        <v>108</v>
      </c>
      <c r="B67" s="8">
        <v>11586.82</v>
      </c>
      <c r="C67" s="8">
        <v>12415.52</v>
      </c>
      <c r="D67" s="8">
        <v>11811</v>
      </c>
      <c r="E67" s="8">
        <v>7884.91</v>
      </c>
      <c r="F67" s="8">
        <v>9539.84</v>
      </c>
      <c r="G67" s="8">
        <v>12246.43</v>
      </c>
      <c r="H67" s="8">
        <v>8257.24</v>
      </c>
      <c r="I67" s="8">
        <v>6263.53</v>
      </c>
      <c r="J67" s="8">
        <v>5260.06</v>
      </c>
      <c r="K67" s="8">
        <v>4916.8900000000003</v>
      </c>
    </row>
    <row r="68" spans="1:11" x14ac:dyDescent="0.3">
      <c r="A68" s="8" t="s">
        <v>41</v>
      </c>
      <c r="B68" s="8">
        <v>24803.82</v>
      </c>
      <c r="C68" s="8">
        <v>28331.040000000001</v>
      </c>
      <c r="D68" s="8">
        <v>31656.1</v>
      </c>
      <c r="E68" s="8">
        <v>31068.720000000001</v>
      </c>
      <c r="F68" s="8">
        <v>33276.379999999997</v>
      </c>
      <c r="G68" s="8">
        <v>48824.39</v>
      </c>
      <c r="H68" s="8">
        <v>54415.33</v>
      </c>
      <c r="I68" s="8">
        <v>49157.51</v>
      </c>
      <c r="J68" s="8">
        <v>44589.94</v>
      </c>
      <c r="K68" s="8">
        <v>47249.22</v>
      </c>
    </row>
    <row r="69" spans="1:11" x14ac:dyDescent="0.3">
      <c r="A69" s="8" t="s">
        <v>309</v>
      </c>
      <c r="B69" s="8">
        <v>4921.05</v>
      </c>
      <c r="C69" s="8">
        <v>7937.85</v>
      </c>
      <c r="D69" s="8">
        <v>3341.37</v>
      </c>
      <c r="E69" s="8">
        <v>8054.72</v>
      </c>
      <c r="F69" s="8">
        <v>5782.18</v>
      </c>
      <c r="G69" s="8">
        <v>15898.93</v>
      </c>
      <c r="H69" s="8">
        <v>13357.26</v>
      </c>
      <c r="I69" s="8">
        <v>8677.7199999999993</v>
      </c>
      <c r="J69" s="8">
        <v>11646.98</v>
      </c>
      <c r="K69" s="8">
        <v>10057.530000000001</v>
      </c>
    </row>
    <row r="70" spans="1:11" x14ac:dyDescent="0.3">
      <c r="A70" s="8" t="s">
        <v>310</v>
      </c>
      <c r="B70" s="8">
        <v>970436562</v>
      </c>
      <c r="C70" s="8">
        <v>1203340563</v>
      </c>
      <c r="D70" s="8">
        <v>1203331928</v>
      </c>
      <c r="E70" s="8">
        <v>1203332459</v>
      </c>
      <c r="F70" s="8">
        <v>1203334622</v>
      </c>
      <c r="G70" s="8">
        <v>1221566453</v>
      </c>
      <c r="H70" s="8">
        <v>12212353070</v>
      </c>
      <c r="I70" s="8">
        <v>12474347611</v>
      </c>
      <c r="J70" s="8">
        <v>12477659071</v>
      </c>
      <c r="K70" s="8">
        <v>12477659071</v>
      </c>
    </row>
    <row r="71" spans="1:11" x14ac:dyDescent="0.3">
      <c r="A71" s="8" t="s">
        <v>311</v>
      </c>
    </row>
    <row r="72" spans="1:11" x14ac:dyDescent="0.3">
      <c r="A72" s="8" t="s">
        <v>312</v>
      </c>
      <c r="B72" s="8">
        <v>10</v>
      </c>
      <c r="C72" s="8">
        <v>10</v>
      </c>
      <c r="D72" s="8">
        <v>10</v>
      </c>
      <c r="E72" s="8">
        <v>10</v>
      </c>
      <c r="F72" s="8">
        <v>10</v>
      </c>
      <c r="G72" s="8">
        <v>10</v>
      </c>
      <c r="H72" s="8">
        <v>1</v>
      </c>
      <c r="I72" s="8">
        <v>1</v>
      </c>
      <c r="J72" s="8">
        <v>1</v>
      </c>
      <c r="K72" s="8">
        <v>1</v>
      </c>
    </row>
    <row r="80" spans="1:11" x14ac:dyDescent="0.3">
      <c r="A80" s="7" t="s">
        <v>313</v>
      </c>
    </row>
    <row r="81" spans="1:11" s="145" customFormat="1" x14ac:dyDescent="0.3">
      <c r="A81" s="144" t="s">
        <v>299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7" customFormat="1" x14ac:dyDescent="0.3">
      <c r="A82" s="8" t="s">
        <v>46</v>
      </c>
      <c r="B82" s="7">
        <v>10824.36</v>
      </c>
      <c r="C82" s="7">
        <v>8023.39</v>
      </c>
      <c r="D82" s="7">
        <v>25335.95</v>
      </c>
      <c r="E82" s="7">
        <v>20168.72</v>
      </c>
      <c r="F82" s="7">
        <v>44326.68</v>
      </c>
      <c r="G82" s="7">
        <v>44380.99</v>
      </c>
      <c r="H82" s="7">
        <v>21683.08</v>
      </c>
      <c r="I82" s="7">
        <v>20300.669999999998</v>
      </c>
      <c r="J82" s="7">
        <v>23137.58</v>
      </c>
      <c r="K82" s="7">
        <v>35064.46</v>
      </c>
    </row>
    <row r="83" spans="1:11" x14ac:dyDescent="0.3">
      <c r="A83" s="8" t="s">
        <v>47</v>
      </c>
      <c r="B83" s="8">
        <v>-9489.65</v>
      </c>
      <c r="C83" s="8">
        <v>-11730.31</v>
      </c>
      <c r="D83" s="8">
        <v>-29176.45</v>
      </c>
      <c r="E83" s="8">
        <v>-14012.06</v>
      </c>
      <c r="F83" s="8">
        <v>-9437.27</v>
      </c>
      <c r="G83" s="8">
        <v>-10905.02</v>
      </c>
      <c r="H83" s="8">
        <v>-18179.45</v>
      </c>
      <c r="I83" s="8">
        <v>-14252.74</v>
      </c>
      <c r="J83" s="8">
        <v>-13611.02</v>
      </c>
      <c r="K83" s="8">
        <v>-14397.35</v>
      </c>
    </row>
    <row r="84" spans="1:11" x14ac:dyDescent="0.3">
      <c r="A84" s="8" t="s">
        <v>48</v>
      </c>
      <c r="B84" s="8">
        <v>-2579.36</v>
      </c>
      <c r="C84" s="8">
        <v>6639.94</v>
      </c>
      <c r="D84" s="8">
        <v>-672.7</v>
      </c>
      <c r="E84" s="8">
        <v>-1694.62</v>
      </c>
      <c r="F84" s="8">
        <v>-37089.67</v>
      </c>
      <c r="G84" s="8">
        <v>-23401.09</v>
      </c>
      <c r="H84" s="8">
        <v>-6980.69</v>
      </c>
      <c r="I84" s="8">
        <v>-11096.99</v>
      </c>
      <c r="J84" s="8">
        <v>-7002.44</v>
      </c>
      <c r="K84" s="8">
        <v>-21387.119999999999</v>
      </c>
    </row>
    <row r="85" spans="1:11" s="7" customFormat="1" x14ac:dyDescent="0.3">
      <c r="A85" s="8" t="s">
        <v>49</v>
      </c>
      <c r="B85" s="7">
        <v>-1244.6500000000001</v>
      </c>
      <c r="C85" s="7">
        <v>2933.02</v>
      </c>
      <c r="D85" s="7">
        <v>-4513.2</v>
      </c>
      <c r="E85" s="7">
        <v>4462.04</v>
      </c>
      <c r="F85" s="7">
        <v>-2200.2600000000002</v>
      </c>
      <c r="G85" s="7">
        <v>10074.879999999999</v>
      </c>
      <c r="H85" s="7">
        <v>-3477.06</v>
      </c>
      <c r="I85" s="7">
        <v>-5049.0600000000004</v>
      </c>
      <c r="J85" s="7">
        <v>2524.12</v>
      </c>
      <c r="K85" s="7">
        <v>-720.01</v>
      </c>
    </row>
    <row r="90" spans="1:11" s="7" customFormat="1" x14ac:dyDescent="0.3">
      <c r="A90" s="7" t="s">
        <v>314</v>
      </c>
      <c r="B90" s="7">
        <v>45.99</v>
      </c>
      <c r="C90" s="7">
        <v>57.11</v>
      </c>
      <c r="D90" s="7">
        <v>52.1</v>
      </c>
      <c r="E90" s="7">
        <v>26.96</v>
      </c>
      <c r="F90" s="7">
        <v>81.19</v>
      </c>
      <c r="G90" s="7">
        <v>130.72</v>
      </c>
      <c r="H90" s="7">
        <v>104.5</v>
      </c>
      <c r="I90" s="7">
        <v>155.85</v>
      </c>
      <c r="J90" s="7">
        <v>154.24</v>
      </c>
      <c r="K90" s="7">
        <v>191.86</v>
      </c>
    </row>
    <row r="92" spans="1:11" s="7" customFormat="1" x14ac:dyDescent="0.3">
      <c r="A92" s="7" t="s">
        <v>315</v>
      </c>
    </row>
    <row r="93" spans="1:11" x14ac:dyDescent="0.3">
      <c r="A93" s="8" t="s">
        <v>316</v>
      </c>
      <c r="B93" s="146">
        <v>1126.6199999999999</v>
      </c>
      <c r="C93" s="146">
        <v>1126.48</v>
      </c>
      <c r="D93" s="146">
        <v>1126.49</v>
      </c>
      <c r="E93" s="146">
        <v>1126.49</v>
      </c>
      <c r="F93" s="146">
        <v>1196.5899999999999</v>
      </c>
      <c r="G93" s="146">
        <v>1221.3</v>
      </c>
      <c r="H93" s="146">
        <v>1222.1500000000001</v>
      </c>
      <c r="I93" s="146">
        <v>1248.3499999999999</v>
      </c>
      <c r="J93" s="146">
        <v>1248.3499999999999</v>
      </c>
      <c r="K93" s="146">
        <v>1248.3499999999999</v>
      </c>
    </row>
  </sheetData>
  <mergeCells count="2">
    <mergeCell ref="E1:K1"/>
    <mergeCell ref="E2:K2"/>
  </mergeCells>
  <conditionalFormatting sqref="E1:K1">
    <cfRule type="cellIs" dxfId="0" priority="2" operator="notEqual">
      <formula>""</formula>
    </cfRule>
  </conditionalFormatting>
  <hyperlinks>
    <hyperlink ref="E1" r:id="rId1" display="https://www.screener.in/excel/" xr:uid="{00000000-0004-0000-0F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R32"/>
  <sheetViews>
    <sheetView zoomScaleNormal="100" workbookViewId="0">
      <selection activeCell="Q16" sqref="Q16"/>
    </sheetView>
  </sheetViews>
  <sheetFormatPr defaultColWidth="8.6640625" defaultRowHeight="14.4" x14ac:dyDescent="0.3"/>
  <cols>
    <col min="1" max="1" width="1.88671875" customWidth="1"/>
    <col min="2" max="2" width="26.88671875" customWidth="1"/>
    <col min="3" max="4" width="7.109375" hidden="1" customWidth="1"/>
    <col min="5" max="5" width="7" hidden="1" customWidth="1"/>
    <col min="6" max="11" width="7.109375" hidden="1" customWidth="1"/>
    <col min="12" max="14" width="7.109375" customWidth="1"/>
  </cols>
  <sheetData>
    <row r="2" spans="2:18" x14ac:dyDescent="0.3">
      <c r="B2" s="157" t="s">
        <v>317</v>
      </c>
      <c r="C2" s="184">
        <v>42064</v>
      </c>
      <c r="D2" s="184">
        <v>42430</v>
      </c>
      <c r="E2" s="184">
        <v>42795</v>
      </c>
      <c r="F2" s="184">
        <v>43160</v>
      </c>
      <c r="G2" s="184">
        <v>43525</v>
      </c>
      <c r="H2" s="184">
        <v>43891</v>
      </c>
      <c r="I2" s="184">
        <v>44256</v>
      </c>
      <c r="J2" s="184">
        <v>44621</v>
      </c>
      <c r="K2" s="184">
        <v>44986</v>
      </c>
      <c r="L2" s="184">
        <v>45352</v>
      </c>
      <c r="M2" s="184">
        <v>45717</v>
      </c>
      <c r="N2" s="184">
        <v>46082</v>
      </c>
    </row>
    <row r="3" spans="2:18" x14ac:dyDescent="0.3">
      <c r="B3" s="188" t="s">
        <v>113</v>
      </c>
      <c r="C3" s="189">
        <v>11880</v>
      </c>
      <c r="D3" s="189">
        <v>11455</v>
      </c>
      <c r="E3" s="189">
        <v>10824</v>
      </c>
      <c r="F3" s="189">
        <v>8023</v>
      </c>
      <c r="G3" s="189">
        <v>25336</v>
      </c>
      <c r="H3" s="189">
        <v>20169</v>
      </c>
      <c r="I3" s="189">
        <v>44327</v>
      </c>
      <c r="J3" s="189">
        <v>44381</v>
      </c>
      <c r="K3" s="189">
        <v>21683</v>
      </c>
      <c r="L3" s="189">
        <v>20301</v>
      </c>
      <c r="M3" s="189">
        <v>23138</v>
      </c>
      <c r="N3" s="189">
        <v>35064</v>
      </c>
    </row>
    <row r="4" spans="2:18" x14ac:dyDescent="0.3">
      <c r="B4" s="18" t="s">
        <v>107</v>
      </c>
      <c r="C4" s="147">
        <v>13955</v>
      </c>
      <c r="D4" s="147">
        <v>6824</v>
      </c>
      <c r="E4" s="147">
        <v>17581</v>
      </c>
      <c r="F4" s="147">
        <v>20187</v>
      </c>
      <c r="G4" s="147">
        <v>27840</v>
      </c>
      <c r="H4" s="147">
        <v>18078</v>
      </c>
      <c r="I4" s="147">
        <v>28540</v>
      </c>
      <c r="J4" s="147">
        <v>65900</v>
      </c>
      <c r="K4" s="147">
        <v>30908</v>
      </c>
      <c r="L4" s="147">
        <v>22237</v>
      </c>
      <c r="M4" s="147">
        <v>23929</v>
      </c>
      <c r="N4" s="147">
        <v>34219</v>
      </c>
    </row>
    <row r="5" spans="2:18" x14ac:dyDescent="0.3">
      <c r="B5" s="18" t="s">
        <v>108</v>
      </c>
      <c r="C5" s="147">
        <v>1442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</row>
    <row r="6" spans="2:18" x14ac:dyDescent="0.3">
      <c r="B6" s="18" t="s">
        <v>41</v>
      </c>
      <c r="C6" s="99">
        <v>-485</v>
      </c>
      <c r="D6" s="147">
        <v>5618</v>
      </c>
      <c r="E6" s="147">
        <v>-8243</v>
      </c>
      <c r="F6" s="147">
        <v>-1595</v>
      </c>
      <c r="G6" s="147">
        <v>-1069</v>
      </c>
      <c r="H6" s="147">
        <v>1562</v>
      </c>
      <c r="I6" s="99">
        <v>46</v>
      </c>
      <c r="J6" s="147">
        <v>-16917</v>
      </c>
      <c r="K6" s="147">
        <v>-4031</v>
      </c>
      <c r="L6" s="147">
        <v>5566</v>
      </c>
      <c r="M6" s="147">
        <v>4776</v>
      </c>
      <c r="N6" s="147">
        <v>1290</v>
      </c>
      <c r="R6" s="49"/>
    </row>
    <row r="7" spans="2:18" x14ac:dyDescent="0.3">
      <c r="B7" s="18" t="s">
        <v>109</v>
      </c>
      <c r="C7" s="99">
        <v>-605</v>
      </c>
      <c r="D7" s="99">
        <v>0</v>
      </c>
      <c r="E7" s="99">
        <v>0</v>
      </c>
      <c r="F7" s="99">
        <v>0</v>
      </c>
      <c r="G7" s="99">
        <v>0</v>
      </c>
      <c r="H7" s="99">
        <v>0</v>
      </c>
      <c r="I7" s="99">
        <v>0</v>
      </c>
      <c r="J7" s="99">
        <v>0</v>
      </c>
      <c r="K7" s="99">
        <v>0</v>
      </c>
      <c r="L7" s="99">
        <v>0</v>
      </c>
      <c r="M7" s="99">
        <v>0</v>
      </c>
      <c r="N7" s="99">
        <v>0</v>
      </c>
    </row>
    <row r="8" spans="2:18" x14ac:dyDescent="0.3">
      <c r="B8" s="18" t="s">
        <v>110</v>
      </c>
      <c r="C8" s="99">
        <v>0</v>
      </c>
      <c r="D8" s="99">
        <v>548</v>
      </c>
      <c r="E8" s="147">
        <v>3329</v>
      </c>
      <c r="F8" s="147">
        <v>-7680</v>
      </c>
      <c r="G8" s="147">
        <v>3659</v>
      </c>
      <c r="H8" s="147">
        <v>2634</v>
      </c>
      <c r="I8" s="147">
        <v>16446</v>
      </c>
      <c r="J8" s="147">
        <v>7299</v>
      </c>
      <c r="K8" s="99">
        <v>325</v>
      </c>
      <c r="L8" s="147">
        <v>-2182</v>
      </c>
      <c r="M8" s="147">
        <v>-2569</v>
      </c>
      <c r="N8" s="147">
        <v>4152</v>
      </c>
    </row>
    <row r="9" spans="2:18" x14ac:dyDescent="0.3">
      <c r="B9" s="18" t="s">
        <v>111</v>
      </c>
      <c r="C9" s="99">
        <v>351</v>
      </c>
      <c r="D9" s="147">
        <v>6166</v>
      </c>
      <c r="E9" s="147">
        <v>-4914</v>
      </c>
      <c r="F9" s="147">
        <v>-9276</v>
      </c>
      <c r="G9" s="147">
        <v>2591</v>
      </c>
      <c r="H9" s="147">
        <v>4196</v>
      </c>
      <c r="I9" s="147">
        <v>16491</v>
      </c>
      <c r="J9" s="147">
        <v>-9618</v>
      </c>
      <c r="K9" s="147">
        <v>-3706</v>
      </c>
      <c r="L9" s="147">
        <v>3384</v>
      </c>
      <c r="M9" s="147">
        <v>2207</v>
      </c>
      <c r="N9" s="147">
        <v>5442</v>
      </c>
    </row>
    <row r="10" spans="2:18" x14ac:dyDescent="0.3">
      <c r="B10" s="18" t="s">
        <v>112</v>
      </c>
      <c r="C10" s="147">
        <v>-2427</v>
      </c>
      <c r="D10" s="147">
        <v>-1534</v>
      </c>
      <c r="E10" s="147">
        <v>-1843</v>
      </c>
      <c r="F10" s="147">
        <v>-2888</v>
      </c>
      <c r="G10" s="147">
        <v>-5094</v>
      </c>
      <c r="H10" s="147">
        <v>-2106</v>
      </c>
      <c r="I10" s="99">
        <v>-704</v>
      </c>
      <c r="J10" s="147">
        <v>-11902</v>
      </c>
      <c r="K10" s="147">
        <v>-5519</v>
      </c>
      <c r="L10" s="147">
        <v>-5320</v>
      </c>
      <c r="M10" s="147">
        <v>-2998</v>
      </c>
      <c r="N10" s="147">
        <v>-4597</v>
      </c>
    </row>
    <row r="11" spans="2:18" x14ac:dyDescent="0.3">
      <c r="B11" s="188" t="s">
        <v>318</v>
      </c>
      <c r="C11" s="189">
        <v>-9021</v>
      </c>
      <c r="D11" s="189">
        <v>-8794</v>
      </c>
      <c r="E11" s="189">
        <v>-9490</v>
      </c>
      <c r="F11" s="189">
        <v>-11730</v>
      </c>
      <c r="G11" s="189">
        <v>-29176</v>
      </c>
      <c r="H11" s="189">
        <v>-14012</v>
      </c>
      <c r="I11" s="189">
        <v>-9437</v>
      </c>
      <c r="J11" s="189">
        <v>-10905</v>
      </c>
      <c r="K11" s="189">
        <v>-18179</v>
      </c>
      <c r="L11" s="189">
        <v>-14253</v>
      </c>
      <c r="M11" s="189">
        <v>-13611</v>
      </c>
      <c r="N11" s="189">
        <v>-14397</v>
      </c>
    </row>
    <row r="12" spans="2:18" x14ac:dyDescent="0.3">
      <c r="B12" s="18" t="s">
        <v>115</v>
      </c>
      <c r="C12" s="147">
        <v>-13492</v>
      </c>
      <c r="D12" s="147">
        <v>-10163</v>
      </c>
      <c r="E12" s="147">
        <v>-7716</v>
      </c>
      <c r="F12" s="147">
        <v>-7478</v>
      </c>
      <c r="G12" s="147">
        <v>-9091</v>
      </c>
      <c r="H12" s="147">
        <v>-10398</v>
      </c>
      <c r="I12" s="147">
        <v>-6979</v>
      </c>
      <c r="J12" s="147">
        <v>-10522</v>
      </c>
      <c r="K12" s="147">
        <v>-14142</v>
      </c>
      <c r="L12" s="147">
        <v>-18207</v>
      </c>
      <c r="M12" s="147">
        <v>-15671</v>
      </c>
      <c r="N12" s="147">
        <v>-14559</v>
      </c>
    </row>
    <row r="13" spans="2:18" x14ac:dyDescent="0.3">
      <c r="B13" s="18" t="s">
        <v>116</v>
      </c>
      <c r="C13" s="147">
        <v>1444</v>
      </c>
      <c r="D13" s="99">
        <v>231</v>
      </c>
      <c r="E13" s="99">
        <v>289</v>
      </c>
      <c r="F13" s="99">
        <v>179</v>
      </c>
      <c r="G13" s="99">
        <v>467</v>
      </c>
      <c r="H13" s="99">
        <v>386</v>
      </c>
      <c r="I13" s="99">
        <v>445</v>
      </c>
      <c r="J13" s="99">
        <v>569</v>
      </c>
      <c r="K13" s="99">
        <v>328</v>
      </c>
      <c r="L13" s="99">
        <v>475</v>
      </c>
      <c r="M13" s="147">
        <v>1264</v>
      </c>
      <c r="N13" s="147">
        <v>1401</v>
      </c>
    </row>
    <row r="14" spans="2:18" x14ac:dyDescent="0.3">
      <c r="B14" s="18" t="s">
        <v>117</v>
      </c>
      <c r="C14" s="147">
        <v>1531</v>
      </c>
      <c r="D14" s="147">
        <v>-3796</v>
      </c>
      <c r="E14" s="99">
        <v>-861</v>
      </c>
      <c r="F14" s="147">
        <v>-8641</v>
      </c>
      <c r="G14" s="99">
        <v>-490</v>
      </c>
      <c r="H14" s="99">
        <v>-828</v>
      </c>
      <c r="I14" s="147">
        <v>-3631</v>
      </c>
      <c r="J14" s="147">
        <v>-1153</v>
      </c>
      <c r="K14" s="99">
        <v>-326</v>
      </c>
      <c r="L14" s="99">
        <v>-4</v>
      </c>
      <c r="M14" s="99">
        <v>-393</v>
      </c>
      <c r="N14" s="99">
        <v>-553</v>
      </c>
    </row>
    <row r="15" spans="2:18" x14ac:dyDescent="0.3">
      <c r="B15" s="18" t="s">
        <v>118</v>
      </c>
      <c r="C15" s="99">
        <v>262</v>
      </c>
      <c r="D15" s="147">
        <v>4275</v>
      </c>
      <c r="E15" s="99">
        <v>91</v>
      </c>
      <c r="F15" s="147">
        <v>3899</v>
      </c>
      <c r="G15" s="147">
        <v>13556</v>
      </c>
      <c r="H15" s="99">
        <v>121</v>
      </c>
      <c r="I15" s="99">
        <v>0</v>
      </c>
      <c r="J15" s="99">
        <v>63</v>
      </c>
      <c r="K15" s="147">
        <v>5191</v>
      </c>
      <c r="L15" s="147">
        <v>3171</v>
      </c>
      <c r="M15" s="99">
        <v>554</v>
      </c>
      <c r="N15" s="99">
        <v>20</v>
      </c>
    </row>
    <row r="16" spans="2:18" x14ac:dyDescent="0.3">
      <c r="B16" s="18" t="s">
        <v>119</v>
      </c>
      <c r="C16" s="99">
        <v>211</v>
      </c>
      <c r="D16" s="99">
        <v>133</v>
      </c>
      <c r="E16" s="99">
        <v>140</v>
      </c>
      <c r="F16" s="99">
        <v>254</v>
      </c>
      <c r="G16" s="99">
        <v>175</v>
      </c>
      <c r="H16" s="99">
        <v>203</v>
      </c>
      <c r="I16" s="99">
        <v>266</v>
      </c>
      <c r="J16" s="99">
        <v>137</v>
      </c>
      <c r="K16" s="99">
        <v>248</v>
      </c>
      <c r="L16" s="99">
        <v>333</v>
      </c>
      <c r="M16" s="99">
        <v>616</v>
      </c>
      <c r="N16" s="99">
        <v>650</v>
      </c>
    </row>
    <row r="17" spans="2:14" x14ac:dyDescent="0.3">
      <c r="B17" s="18" t="s">
        <v>120</v>
      </c>
      <c r="C17" s="99">
        <v>127</v>
      </c>
      <c r="D17" s="99">
        <v>108</v>
      </c>
      <c r="E17" s="99">
        <v>85</v>
      </c>
      <c r="F17" s="99">
        <v>111</v>
      </c>
      <c r="G17" s="99">
        <v>148</v>
      </c>
      <c r="H17" s="99">
        <v>103</v>
      </c>
      <c r="I17" s="99">
        <v>135</v>
      </c>
      <c r="J17" s="99">
        <v>162</v>
      </c>
      <c r="K17" s="99">
        <v>317</v>
      </c>
      <c r="L17" s="99">
        <v>336</v>
      </c>
      <c r="M17" s="99">
        <v>294</v>
      </c>
      <c r="N17" s="99">
        <v>408</v>
      </c>
    </row>
    <row r="18" spans="2:14" x14ac:dyDescent="0.3">
      <c r="B18" s="18" t="s">
        <v>121</v>
      </c>
      <c r="C18" s="147">
        <v>1301</v>
      </c>
      <c r="D18" s="99">
        <v>0</v>
      </c>
      <c r="E18" s="99">
        <v>0</v>
      </c>
      <c r="F18" s="99">
        <v>34</v>
      </c>
      <c r="G18" s="99">
        <v>156</v>
      </c>
      <c r="H18" s="99">
        <v>378</v>
      </c>
      <c r="I18" s="99">
        <v>90</v>
      </c>
      <c r="J18" s="147">
        <v>1208</v>
      </c>
      <c r="K18" s="99">
        <v>166</v>
      </c>
      <c r="L18" s="99">
        <v>123</v>
      </c>
      <c r="M18" s="99">
        <v>28</v>
      </c>
      <c r="N18" s="99">
        <v>611</v>
      </c>
    </row>
    <row r="19" spans="2:14" x14ac:dyDescent="0.3">
      <c r="B19" s="18" t="s">
        <v>122</v>
      </c>
      <c r="C19" s="99">
        <v>-108</v>
      </c>
      <c r="D19" s="99">
        <v>-78</v>
      </c>
      <c r="E19" s="147">
        <v>-1081</v>
      </c>
      <c r="F19" s="99">
        <v>-255</v>
      </c>
      <c r="G19" s="147">
        <v>-34569</v>
      </c>
      <c r="H19" s="147">
        <v>-4433</v>
      </c>
      <c r="I19" s="99">
        <v>0</v>
      </c>
      <c r="J19" s="99">
        <v>-53</v>
      </c>
      <c r="K19" s="147">
        <v>-10569</v>
      </c>
      <c r="L19" s="99">
        <v>0</v>
      </c>
      <c r="M19" s="99">
        <v>-6</v>
      </c>
      <c r="N19" s="147">
        <v>-2846</v>
      </c>
    </row>
    <row r="20" spans="2:14" x14ac:dyDescent="0.3">
      <c r="B20" s="18" t="s">
        <v>123</v>
      </c>
      <c r="C20" s="99">
        <v>277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</row>
    <row r="21" spans="2:14" x14ac:dyDescent="0.3">
      <c r="B21" s="18" t="s">
        <v>124</v>
      </c>
      <c r="C21" s="99">
        <v>-573</v>
      </c>
      <c r="D21" s="99">
        <v>496</v>
      </c>
      <c r="E21" s="99">
        <v>-437</v>
      </c>
      <c r="F21" s="99">
        <v>166</v>
      </c>
      <c r="G21" s="99">
        <v>471</v>
      </c>
      <c r="H21" s="99">
        <v>456</v>
      </c>
      <c r="I21" s="99">
        <v>236</v>
      </c>
      <c r="J21" s="147">
        <v>-1315</v>
      </c>
      <c r="K21" s="99">
        <v>609</v>
      </c>
      <c r="L21" s="99">
        <v>-481</v>
      </c>
      <c r="M21" s="99">
        <v>-298</v>
      </c>
      <c r="N21" s="99">
        <v>472</v>
      </c>
    </row>
    <row r="22" spans="2:14" x14ac:dyDescent="0.3">
      <c r="B22" s="188" t="s">
        <v>319</v>
      </c>
      <c r="C22" s="189">
        <v>-2617</v>
      </c>
      <c r="D22" s="189">
        <v>-4729</v>
      </c>
      <c r="E22" s="189">
        <v>-2579</v>
      </c>
      <c r="F22" s="189">
        <v>6640</v>
      </c>
      <c r="G22" s="190">
        <v>-673</v>
      </c>
      <c r="H22" s="189">
        <v>-1695</v>
      </c>
      <c r="I22" s="189">
        <v>-37090</v>
      </c>
      <c r="J22" s="189">
        <v>-23401</v>
      </c>
      <c r="K22" s="189">
        <v>-6981</v>
      </c>
      <c r="L22" s="189">
        <v>-11097</v>
      </c>
      <c r="M22" s="189">
        <v>-7002</v>
      </c>
      <c r="N22" s="189">
        <v>-21387</v>
      </c>
    </row>
    <row r="23" spans="2:14" x14ac:dyDescent="0.3">
      <c r="B23" s="18" t="s">
        <v>127</v>
      </c>
      <c r="C23" s="99">
        <v>13</v>
      </c>
      <c r="D23" s="99">
        <v>0</v>
      </c>
      <c r="E23" s="99">
        <v>652</v>
      </c>
      <c r="F23" s="147">
        <v>9087</v>
      </c>
      <c r="G23" s="99">
        <v>0</v>
      </c>
      <c r="H23" s="99">
        <v>188</v>
      </c>
      <c r="I23" s="147">
        <v>3239</v>
      </c>
      <c r="J23" s="99">
        <v>326</v>
      </c>
      <c r="K23" s="99">
        <v>1</v>
      </c>
      <c r="L23" s="99">
        <v>0</v>
      </c>
      <c r="M23" s="99">
        <v>0</v>
      </c>
      <c r="N23" s="99">
        <v>0</v>
      </c>
    </row>
    <row r="24" spans="2:14" x14ac:dyDescent="0.3">
      <c r="B24" s="18" t="s">
        <v>128</v>
      </c>
      <c r="C24" s="99">
        <v>0</v>
      </c>
      <c r="D24" s="99">
        <v>0</v>
      </c>
      <c r="E24" s="99">
        <v>0</v>
      </c>
      <c r="F24" s="99">
        <v>0</v>
      </c>
      <c r="G24" s="147">
        <v>33344</v>
      </c>
      <c r="H24" s="147">
        <v>16574</v>
      </c>
      <c r="I24" s="147">
        <v>9801</v>
      </c>
      <c r="J24" s="147">
        <v>12439</v>
      </c>
      <c r="K24" s="147">
        <v>16769</v>
      </c>
      <c r="L24" s="147">
        <v>14120</v>
      </c>
      <c r="M24" s="147">
        <v>23893</v>
      </c>
      <c r="N24" s="147">
        <v>15954</v>
      </c>
    </row>
    <row r="25" spans="2:14" x14ac:dyDescent="0.3">
      <c r="B25" s="18" t="s">
        <v>129</v>
      </c>
      <c r="C25" s="99">
        <v>0</v>
      </c>
      <c r="D25" s="99">
        <v>0</v>
      </c>
      <c r="E25" s="99">
        <v>0</v>
      </c>
      <c r="F25" s="99">
        <v>0</v>
      </c>
      <c r="G25" s="147">
        <v>-25077</v>
      </c>
      <c r="H25" s="147">
        <v>-7937</v>
      </c>
      <c r="I25" s="147">
        <v>-39177</v>
      </c>
      <c r="J25" s="147">
        <v>-26360</v>
      </c>
      <c r="K25" s="147">
        <v>-10226</v>
      </c>
      <c r="L25" s="147">
        <v>-11908</v>
      </c>
      <c r="M25" s="147">
        <v>-17627</v>
      </c>
      <c r="N25" s="147">
        <v>-23916</v>
      </c>
    </row>
    <row r="26" spans="2:14" x14ac:dyDescent="0.3">
      <c r="B26" s="18" t="s">
        <v>130</v>
      </c>
      <c r="C26" s="147">
        <v>-5428</v>
      </c>
      <c r="D26" s="147">
        <v>-5483</v>
      </c>
      <c r="E26" s="147">
        <v>-4733</v>
      </c>
      <c r="F26" s="147">
        <v>-5146</v>
      </c>
      <c r="G26" s="147">
        <v>-6901</v>
      </c>
      <c r="H26" s="147">
        <v>-7419</v>
      </c>
      <c r="I26" s="147">
        <v>-6804</v>
      </c>
      <c r="J26" s="147">
        <v>-4687</v>
      </c>
      <c r="K26" s="147">
        <v>-6120</v>
      </c>
      <c r="L26" s="147">
        <v>-8145</v>
      </c>
      <c r="M26" s="147">
        <v>-8119</v>
      </c>
      <c r="N26" s="147">
        <v>-8066</v>
      </c>
    </row>
    <row r="27" spans="2:14" x14ac:dyDescent="0.3">
      <c r="B27" s="18" t="s">
        <v>131</v>
      </c>
      <c r="C27" s="99">
        <v>-983</v>
      </c>
      <c r="D27" s="99">
        <v>-788</v>
      </c>
      <c r="E27" s="99">
        <v>-791</v>
      </c>
      <c r="F27" s="99">
        <v>-982</v>
      </c>
      <c r="G27" s="147">
        <v>-1186</v>
      </c>
      <c r="H27" s="147">
        <v>-1507</v>
      </c>
      <c r="I27" s="147">
        <v>-1151</v>
      </c>
      <c r="J27" s="147">
        <v>-3020</v>
      </c>
      <c r="K27" s="147">
        <v>-6293</v>
      </c>
      <c r="L27" s="147">
        <v>-4429</v>
      </c>
      <c r="M27" s="147">
        <v>-4490</v>
      </c>
      <c r="N27" s="147">
        <v>-4490</v>
      </c>
    </row>
    <row r="28" spans="2:14" x14ac:dyDescent="0.3">
      <c r="B28" s="18" t="s">
        <v>132</v>
      </c>
      <c r="C28" s="99">
        <v>0</v>
      </c>
      <c r="D28" s="99">
        <v>-200</v>
      </c>
      <c r="E28" s="99">
        <v>-208</v>
      </c>
      <c r="F28" s="99">
        <v>-211</v>
      </c>
      <c r="G28" s="99">
        <v>-276</v>
      </c>
      <c r="H28" s="147">
        <v>-1029</v>
      </c>
      <c r="I28" s="147">
        <v>-1284</v>
      </c>
      <c r="J28" s="147">
        <v>-1310</v>
      </c>
      <c r="K28" s="147">
        <v>-1114</v>
      </c>
      <c r="L28" s="147">
        <v>-1140</v>
      </c>
      <c r="M28" s="99">
        <v>-971</v>
      </c>
      <c r="N28" s="147">
        <v>-1162</v>
      </c>
    </row>
    <row r="29" spans="2:14" x14ac:dyDescent="0.3">
      <c r="B29" s="18" t="s">
        <v>133</v>
      </c>
      <c r="C29" s="147">
        <v>3781</v>
      </c>
      <c r="D29" s="147">
        <v>1743</v>
      </c>
      <c r="E29" s="147">
        <v>2501</v>
      </c>
      <c r="F29" s="147">
        <v>3892</v>
      </c>
      <c r="G29" s="99">
        <v>-576</v>
      </c>
      <c r="H29" s="99">
        <v>-564</v>
      </c>
      <c r="I29" s="147">
        <v>-1714</v>
      </c>
      <c r="J29" s="99">
        <v>-789</v>
      </c>
      <c r="K29" s="99">
        <v>2</v>
      </c>
      <c r="L29" s="99">
        <v>404</v>
      </c>
      <c r="M29" s="99">
        <v>312</v>
      </c>
      <c r="N29" s="99">
        <v>293</v>
      </c>
    </row>
    <row r="30" spans="2:14" ht="15" thickBot="1" x14ac:dyDescent="0.35">
      <c r="B30" s="185" t="s">
        <v>49</v>
      </c>
      <c r="C30" s="186">
        <v>241</v>
      </c>
      <c r="D30" s="187">
        <v>-2068</v>
      </c>
      <c r="E30" s="187">
        <v>-1245</v>
      </c>
      <c r="F30" s="187">
        <v>2933</v>
      </c>
      <c r="G30" s="187">
        <v>-4513</v>
      </c>
      <c r="H30" s="187">
        <v>4462</v>
      </c>
      <c r="I30" s="187">
        <v>-2200</v>
      </c>
      <c r="J30" s="187">
        <v>10075</v>
      </c>
      <c r="K30" s="187">
        <v>-3477</v>
      </c>
      <c r="L30" s="187">
        <v>-5049</v>
      </c>
      <c r="M30" s="187">
        <v>2524</v>
      </c>
      <c r="N30" s="186">
        <v>-720</v>
      </c>
    </row>
    <row r="31" spans="2:14" ht="15" thickTop="1" x14ac:dyDescent="0.3">
      <c r="B31" s="54"/>
      <c r="C31" s="99"/>
      <c r="D31" s="147"/>
      <c r="E31" s="147"/>
      <c r="F31" s="99"/>
      <c r="G31" s="147"/>
      <c r="H31" s="147"/>
      <c r="I31" s="147"/>
      <c r="J31" s="147"/>
      <c r="K31" s="147"/>
      <c r="L31" s="147"/>
      <c r="M31" s="147"/>
      <c r="N31" s="147"/>
    </row>
    <row r="32" spans="2:14" x14ac:dyDescent="0.3">
      <c r="B32" s="54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3:N8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8" sqref="A8"/>
      <selection pane="bottomRight" activeCell="F69" sqref="F69"/>
    </sheetView>
  </sheetViews>
  <sheetFormatPr defaultColWidth="8.6640625" defaultRowHeight="14.4" x14ac:dyDescent="0.3"/>
  <cols>
    <col min="1" max="1" width="1.88671875" customWidth="1"/>
    <col min="2" max="2" width="22.77734375" customWidth="1"/>
    <col min="3" max="14" width="9.6640625" customWidth="1"/>
  </cols>
  <sheetData>
    <row r="3" spans="2:14" x14ac:dyDescent="0.3">
      <c r="B3" s="88" t="s">
        <v>320</v>
      </c>
      <c r="C3" s="149">
        <v>42064</v>
      </c>
      <c r="D3" s="149">
        <v>42430</v>
      </c>
      <c r="E3" s="149">
        <v>42795</v>
      </c>
      <c r="F3" s="149">
        <v>43160</v>
      </c>
      <c r="G3" s="149">
        <v>43525</v>
      </c>
      <c r="H3" s="149">
        <v>43891</v>
      </c>
      <c r="I3" s="149">
        <v>44256</v>
      </c>
      <c r="J3" s="149">
        <v>44621</v>
      </c>
      <c r="K3" s="149">
        <v>44986</v>
      </c>
      <c r="L3" s="149">
        <v>45352</v>
      </c>
      <c r="M3" s="149">
        <v>45717</v>
      </c>
      <c r="N3" s="149">
        <v>46082</v>
      </c>
    </row>
    <row r="4" spans="2:14" x14ac:dyDescent="0.3">
      <c r="B4" s="135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</row>
    <row r="5" spans="2:14" x14ac:dyDescent="0.3">
      <c r="B5" s="2" t="s">
        <v>321</v>
      </c>
      <c r="C5" s="112">
        <v>971</v>
      </c>
      <c r="D5" s="112">
        <v>970</v>
      </c>
      <c r="E5" s="112">
        <v>970</v>
      </c>
      <c r="F5" s="112">
        <v>1145</v>
      </c>
      <c r="G5" s="112">
        <v>1145</v>
      </c>
      <c r="H5" s="112">
        <v>1145</v>
      </c>
      <c r="I5" s="112">
        <v>1198</v>
      </c>
      <c r="J5" s="112">
        <v>1221</v>
      </c>
      <c r="K5" s="112">
        <v>1221</v>
      </c>
      <c r="L5" s="112">
        <v>1247</v>
      </c>
      <c r="M5" s="112">
        <v>1247</v>
      </c>
      <c r="N5" s="112">
        <v>1247</v>
      </c>
    </row>
    <row r="6" spans="2:14" x14ac:dyDescent="0.3">
      <c r="B6" s="2" t="s">
        <v>31</v>
      </c>
      <c r="C6" s="112">
        <v>30378</v>
      </c>
      <c r="D6" s="112">
        <v>42762</v>
      </c>
      <c r="E6" s="112">
        <v>36849</v>
      </c>
      <c r="F6" s="112">
        <v>59726</v>
      </c>
      <c r="G6" s="112">
        <v>67780</v>
      </c>
      <c r="H6" s="112">
        <v>72431</v>
      </c>
      <c r="I6" s="112">
        <v>73041</v>
      </c>
      <c r="J6" s="112">
        <v>113222</v>
      </c>
      <c r="K6" s="112">
        <v>101861</v>
      </c>
      <c r="L6" s="112">
        <v>90788</v>
      </c>
      <c r="M6" s="112">
        <v>89922</v>
      </c>
      <c r="N6" s="112">
        <v>100920</v>
      </c>
    </row>
    <row r="7" spans="2:14" x14ac:dyDescent="0.3">
      <c r="B7" s="2" t="s">
        <v>322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</row>
    <row r="8" spans="2:14" x14ac:dyDescent="0.3">
      <c r="B8" t="s">
        <v>323</v>
      </c>
      <c r="C8" s="112">
        <v>65675</v>
      </c>
      <c r="D8" s="112">
        <v>64873</v>
      </c>
      <c r="E8" s="112">
        <v>64022</v>
      </c>
      <c r="F8" s="112">
        <v>72789</v>
      </c>
      <c r="G8" s="112">
        <v>80343</v>
      </c>
      <c r="H8" s="112">
        <v>94105</v>
      </c>
      <c r="I8" s="112">
        <v>65698</v>
      </c>
      <c r="J8" s="112">
        <v>44764</v>
      </c>
      <c r="K8" s="112">
        <v>51446</v>
      </c>
      <c r="L8" s="112">
        <v>51577</v>
      </c>
      <c r="M8" s="112">
        <v>68552</v>
      </c>
      <c r="N8" s="112">
        <v>63754</v>
      </c>
    </row>
    <row r="9" spans="2:14" x14ac:dyDescent="0.3">
      <c r="B9" t="s">
        <v>324</v>
      </c>
      <c r="C9" s="112">
        <v>9599</v>
      </c>
      <c r="D9" s="112">
        <v>15722</v>
      </c>
      <c r="E9" s="112">
        <v>18328</v>
      </c>
      <c r="F9" s="112">
        <v>15885</v>
      </c>
      <c r="G9" s="112">
        <v>10802</v>
      </c>
      <c r="H9" s="112">
        <v>19184</v>
      </c>
      <c r="I9" s="112">
        <v>14969</v>
      </c>
      <c r="J9" s="112">
        <v>24065</v>
      </c>
      <c r="K9" s="112">
        <v>26571</v>
      </c>
      <c r="L9" s="112">
        <v>29997</v>
      </c>
      <c r="M9" s="112">
        <v>20412</v>
      </c>
      <c r="N9" s="112">
        <v>21203</v>
      </c>
    </row>
    <row r="10" spans="2:14" x14ac:dyDescent="0.3">
      <c r="B10" t="s">
        <v>325</v>
      </c>
      <c r="C10" s="112">
        <v>0</v>
      </c>
      <c r="D10" s="112">
        <v>0</v>
      </c>
      <c r="E10" s="112">
        <v>0</v>
      </c>
      <c r="F10" s="112">
        <v>0</v>
      </c>
      <c r="G10" s="112">
        <v>0</v>
      </c>
      <c r="H10" s="112">
        <v>0</v>
      </c>
      <c r="I10" s="112">
        <v>7834</v>
      </c>
      <c r="J10" s="112">
        <v>6733</v>
      </c>
      <c r="K10" s="112">
        <v>6875</v>
      </c>
      <c r="L10" s="112">
        <v>5508</v>
      </c>
      <c r="M10" s="112">
        <v>5837</v>
      </c>
      <c r="N10" s="112">
        <v>7425</v>
      </c>
    </row>
    <row r="11" spans="2:14" x14ac:dyDescent="0.3">
      <c r="B11" t="s">
        <v>326</v>
      </c>
      <c r="C11" s="112">
        <v>0</v>
      </c>
      <c r="D11" s="112">
        <v>0</v>
      </c>
      <c r="E11" s="112">
        <v>0</v>
      </c>
      <c r="F11" s="112">
        <v>20</v>
      </c>
      <c r="G11" s="112">
        <v>13</v>
      </c>
      <c r="H11" s="112">
        <v>0</v>
      </c>
      <c r="I11" s="112">
        <v>0</v>
      </c>
      <c r="J11" s="112">
        <v>0</v>
      </c>
      <c r="K11" s="112">
        <v>0</v>
      </c>
      <c r="L11" s="112">
        <v>0</v>
      </c>
      <c r="M11" s="112">
        <v>0</v>
      </c>
      <c r="N11" s="112">
        <v>0</v>
      </c>
    </row>
    <row r="12" spans="2:14" x14ac:dyDescent="0.3">
      <c r="B12" t="s">
        <v>327</v>
      </c>
      <c r="C12" s="112">
        <v>5428</v>
      </c>
      <c r="D12" s="112">
        <v>1392</v>
      </c>
      <c r="E12" s="112">
        <v>664</v>
      </c>
      <c r="F12" s="112">
        <v>3453</v>
      </c>
      <c r="G12" s="112">
        <v>9658</v>
      </c>
      <c r="H12" s="112">
        <v>3039</v>
      </c>
      <c r="I12" s="112">
        <v>0</v>
      </c>
      <c r="J12" s="112">
        <v>0</v>
      </c>
      <c r="K12" s="112">
        <v>0</v>
      </c>
      <c r="L12" s="112">
        <v>0</v>
      </c>
      <c r="M12" s="112">
        <v>0</v>
      </c>
      <c r="N12" s="112">
        <v>0</v>
      </c>
    </row>
    <row r="13" spans="2:14" x14ac:dyDescent="0.3">
      <c r="B13" s="2" t="s">
        <v>328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</row>
    <row r="14" spans="2:14" x14ac:dyDescent="0.3">
      <c r="B14" t="s">
        <v>329</v>
      </c>
      <c r="C14" s="112">
        <v>1704</v>
      </c>
      <c r="D14" s="112">
        <v>781</v>
      </c>
      <c r="E14" s="112">
        <v>1602</v>
      </c>
      <c r="F14" s="112">
        <v>937</v>
      </c>
      <c r="G14" s="112">
        <v>2364</v>
      </c>
      <c r="H14" s="112">
        <v>2587</v>
      </c>
      <c r="I14" s="112">
        <v>3270</v>
      </c>
      <c r="J14" s="112">
        <v>2655</v>
      </c>
      <c r="K14" s="112">
        <v>2093</v>
      </c>
      <c r="L14" s="112">
        <v>397</v>
      </c>
      <c r="M14" s="112">
        <v>183</v>
      </c>
      <c r="N14" s="112">
        <v>1613</v>
      </c>
    </row>
    <row r="15" spans="2:14" x14ac:dyDescent="0.3">
      <c r="B15" t="s">
        <v>330</v>
      </c>
      <c r="C15" s="112">
        <v>19190</v>
      </c>
      <c r="D15" s="112">
        <v>18557</v>
      </c>
      <c r="E15" s="112">
        <v>18574</v>
      </c>
      <c r="F15" s="112">
        <v>20414</v>
      </c>
      <c r="G15" s="112">
        <v>21717</v>
      </c>
      <c r="H15" s="112">
        <v>21381</v>
      </c>
      <c r="I15" s="112">
        <v>25967</v>
      </c>
      <c r="J15" s="112">
        <v>36765</v>
      </c>
      <c r="K15" s="112">
        <v>37833</v>
      </c>
      <c r="L15" s="112">
        <v>30228</v>
      </c>
      <c r="M15" s="112">
        <v>29314</v>
      </c>
      <c r="N15" s="112">
        <v>34810</v>
      </c>
    </row>
    <row r="16" spans="2:14" x14ac:dyDescent="0.3">
      <c r="B16" t="s">
        <v>331</v>
      </c>
      <c r="C16" s="112">
        <v>367</v>
      </c>
      <c r="D16" s="112">
        <v>456</v>
      </c>
      <c r="E16" s="112">
        <v>566</v>
      </c>
      <c r="F16" s="112">
        <v>616</v>
      </c>
      <c r="G16" s="112">
        <v>819</v>
      </c>
      <c r="H16" s="112">
        <v>869</v>
      </c>
      <c r="I16" s="112">
        <v>2399</v>
      </c>
      <c r="J16" s="112">
        <v>3253</v>
      </c>
      <c r="K16" s="112">
        <v>3394</v>
      </c>
      <c r="L16" s="112">
        <v>2771</v>
      </c>
      <c r="M16" s="112">
        <v>1655</v>
      </c>
      <c r="N16" s="112">
        <v>2222</v>
      </c>
    </row>
    <row r="17" spans="2:14" x14ac:dyDescent="0.3">
      <c r="B17" t="s">
        <v>332</v>
      </c>
      <c r="C17" s="113">
        <v>25798</v>
      </c>
      <c r="D17" s="113">
        <v>31371</v>
      </c>
      <c r="E17" s="113">
        <v>30871</v>
      </c>
      <c r="F17" s="113">
        <v>33738</v>
      </c>
      <c r="G17" s="113">
        <v>38131</v>
      </c>
      <c r="H17" s="113">
        <v>34408</v>
      </c>
      <c r="I17" s="113">
        <v>49533</v>
      </c>
      <c r="J17" s="113">
        <v>49744</v>
      </c>
      <c r="K17" s="113">
        <v>54101</v>
      </c>
      <c r="L17" s="113">
        <v>56799</v>
      </c>
      <c r="M17" s="113">
        <v>58335</v>
      </c>
      <c r="N17" s="113">
        <v>63320</v>
      </c>
    </row>
    <row r="18" spans="2:14" ht="15" customHeight="1" x14ac:dyDescent="0.3">
      <c r="B18" s="160" t="s">
        <v>101</v>
      </c>
      <c r="C18" s="161">
        <v>159109</v>
      </c>
      <c r="D18" s="161">
        <v>176884</v>
      </c>
      <c r="E18" s="161">
        <v>172447</v>
      </c>
      <c r="F18" s="161">
        <v>208722</v>
      </c>
      <c r="G18" s="161">
        <v>232773</v>
      </c>
      <c r="H18" s="161">
        <v>249149</v>
      </c>
      <c r="I18" s="161">
        <v>243909</v>
      </c>
      <c r="J18" s="161">
        <v>282422</v>
      </c>
      <c r="K18" s="161">
        <v>285396</v>
      </c>
      <c r="L18" s="161">
        <v>269312</v>
      </c>
      <c r="M18" s="161">
        <v>275459</v>
      </c>
      <c r="N18" s="161">
        <v>296515</v>
      </c>
    </row>
    <row r="19" spans="2:14" ht="15" customHeight="1" x14ac:dyDescent="0.3">
      <c r="B19" s="2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</row>
    <row r="20" spans="2:14" x14ac:dyDescent="0.3">
      <c r="B20" s="2" t="s">
        <v>333</v>
      </c>
      <c r="C20" s="112">
        <v>68100</v>
      </c>
      <c r="D20" s="112">
        <v>72200</v>
      </c>
      <c r="E20" s="112">
        <v>92007</v>
      </c>
      <c r="F20" s="112">
        <v>96105</v>
      </c>
      <c r="G20" s="112">
        <v>124442</v>
      </c>
      <c r="H20" s="112">
        <v>134551</v>
      </c>
      <c r="I20" s="112">
        <v>135775</v>
      </c>
      <c r="J20" s="112">
        <v>133288</v>
      </c>
      <c r="K20" s="112">
        <v>146621</v>
      </c>
      <c r="L20" s="112">
        <v>148814</v>
      </c>
      <c r="M20" s="112">
        <v>150914</v>
      </c>
      <c r="N20" s="112">
        <v>179908</v>
      </c>
    </row>
    <row r="21" spans="2:14" x14ac:dyDescent="0.3">
      <c r="B21" t="s">
        <v>334</v>
      </c>
      <c r="C21" s="112">
        <v>2433</v>
      </c>
      <c r="D21" s="112">
        <v>16499</v>
      </c>
      <c r="E21" s="112">
        <v>16545</v>
      </c>
      <c r="F21" s="112">
        <v>16955</v>
      </c>
      <c r="G21" s="112">
        <v>17126</v>
      </c>
      <c r="H21" s="112">
        <v>19853</v>
      </c>
      <c r="I21" s="112">
        <v>20656</v>
      </c>
      <c r="J21" s="112">
        <v>20770</v>
      </c>
      <c r="K21" s="112">
        <v>21701</v>
      </c>
      <c r="L21" s="112">
        <v>22067</v>
      </c>
      <c r="M21" s="112">
        <v>22299</v>
      </c>
      <c r="N21" s="112">
        <v>23659</v>
      </c>
    </row>
    <row r="22" spans="2:14" x14ac:dyDescent="0.3">
      <c r="B22" t="s">
        <v>335</v>
      </c>
      <c r="C22" s="112">
        <v>14186</v>
      </c>
      <c r="D22" s="112">
        <v>11058</v>
      </c>
      <c r="E22" s="112">
        <v>11141</v>
      </c>
      <c r="F22" s="112">
        <v>12148</v>
      </c>
      <c r="G22" s="112">
        <v>21753</v>
      </c>
      <c r="H22" s="112">
        <v>25883</v>
      </c>
      <c r="I22" s="112">
        <v>26828</v>
      </c>
      <c r="J22" s="112">
        <v>27588</v>
      </c>
      <c r="K22" s="112">
        <v>28904</v>
      </c>
      <c r="L22" s="112">
        <v>30173</v>
      </c>
      <c r="M22" s="112">
        <v>31819</v>
      </c>
      <c r="N22" s="112">
        <v>36997</v>
      </c>
    </row>
    <row r="23" spans="2:14" x14ac:dyDescent="0.3">
      <c r="B23" t="s">
        <v>336</v>
      </c>
      <c r="C23" s="112">
        <v>124249</v>
      </c>
      <c r="D23" s="112">
        <v>73865</v>
      </c>
      <c r="E23" s="112">
        <v>93462</v>
      </c>
      <c r="F23" s="112">
        <v>104889</v>
      </c>
      <c r="G23" s="112">
        <v>127435</v>
      </c>
      <c r="H23" s="112">
        <v>141914</v>
      </c>
      <c r="I23" s="112">
        <v>155596</v>
      </c>
      <c r="J23" s="112">
        <v>152754</v>
      </c>
      <c r="K23" s="112">
        <v>163134</v>
      </c>
      <c r="L23" s="112">
        <v>175111</v>
      </c>
      <c r="M23" s="112">
        <v>186115</v>
      </c>
      <c r="N23" s="112">
        <v>224912</v>
      </c>
    </row>
    <row r="24" spans="2:14" x14ac:dyDescent="0.3">
      <c r="B24" t="s">
        <v>337</v>
      </c>
      <c r="C24" s="112">
        <v>403</v>
      </c>
      <c r="D24" s="112">
        <v>414</v>
      </c>
      <c r="E24" s="112">
        <v>543</v>
      </c>
      <c r="F24" s="112">
        <v>668</v>
      </c>
      <c r="G24" s="112">
        <v>739</v>
      </c>
      <c r="H24" s="112">
        <v>796</v>
      </c>
      <c r="I24" s="112">
        <v>0</v>
      </c>
      <c r="J24" s="112">
        <v>0</v>
      </c>
      <c r="K24" s="112">
        <v>0</v>
      </c>
      <c r="L24" s="112">
        <v>0</v>
      </c>
      <c r="M24" s="112">
        <v>0</v>
      </c>
      <c r="N24" s="112">
        <v>0</v>
      </c>
    </row>
    <row r="25" spans="2:14" x14ac:dyDescent="0.3">
      <c r="B25" t="s">
        <v>338</v>
      </c>
      <c r="C25" s="112">
        <v>916</v>
      </c>
      <c r="D25" s="112">
        <v>0</v>
      </c>
      <c r="E25" s="112">
        <v>0</v>
      </c>
      <c r="F25" s="112">
        <v>0</v>
      </c>
      <c r="G25" s="112">
        <v>0</v>
      </c>
      <c r="H25" s="112">
        <v>19</v>
      </c>
      <c r="I25" s="112">
        <v>1047</v>
      </c>
      <c r="J25" s="112">
        <v>991</v>
      </c>
      <c r="K25" s="112">
        <v>1111</v>
      </c>
      <c r="L25" s="112">
        <v>1238</v>
      </c>
      <c r="M25" s="112">
        <v>1298</v>
      </c>
      <c r="N25" s="112">
        <v>1429</v>
      </c>
    </row>
    <row r="26" spans="2:14" x14ac:dyDescent="0.3">
      <c r="B26" t="s">
        <v>339</v>
      </c>
      <c r="C26" s="112">
        <v>1239</v>
      </c>
      <c r="D26" s="112">
        <v>757</v>
      </c>
      <c r="E26" s="112">
        <v>1350</v>
      </c>
      <c r="F26" s="112">
        <v>1397</v>
      </c>
      <c r="G26" s="112">
        <v>1549</v>
      </c>
      <c r="H26" s="112">
        <v>1676</v>
      </c>
      <c r="I26" s="112">
        <v>1671</v>
      </c>
      <c r="J26" s="112">
        <v>1780</v>
      </c>
      <c r="K26" s="112">
        <v>1841</v>
      </c>
      <c r="L26" s="112">
        <v>1872</v>
      </c>
      <c r="M26" s="112">
        <v>1890</v>
      </c>
      <c r="N26" s="112">
        <v>2384</v>
      </c>
    </row>
    <row r="27" spans="2:14" x14ac:dyDescent="0.3">
      <c r="B27" t="s">
        <v>340</v>
      </c>
      <c r="C27" s="112">
        <v>376</v>
      </c>
      <c r="D27" s="112">
        <v>335</v>
      </c>
      <c r="E27" s="112">
        <v>352</v>
      </c>
      <c r="F27" s="112">
        <v>343</v>
      </c>
      <c r="G27" s="112">
        <v>398</v>
      </c>
      <c r="H27" s="112">
        <v>615</v>
      </c>
      <c r="I27" s="112">
        <v>681</v>
      </c>
      <c r="J27" s="112">
        <v>686</v>
      </c>
      <c r="K27" s="112">
        <v>749</v>
      </c>
      <c r="L27" s="112">
        <v>794</v>
      </c>
      <c r="M27" s="112">
        <v>830</v>
      </c>
      <c r="N27" s="112">
        <v>978</v>
      </c>
    </row>
    <row r="28" spans="2:14" x14ac:dyDescent="0.3">
      <c r="B28" t="s">
        <v>341</v>
      </c>
      <c r="C28" s="112">
        <v>13500</v>
      </c>
      <c r="D28" s="112">
        <v>6026</v>
      </c>
      <c r="E28" s="112">
        <v>4990</v>
      </c>
      <c r="F28" s="112">
        <v>5810</v>
      </c>
      <c r="G28" s="112">
        <v>4293</v>
      </c>
      <c r="H28" s="112">
        <v>5868</v>
      </c>
      <c r="I28" s="112">
        <v>6289</v>
      </c>
      <c r="J28" s="112">
        <v>6229</v>
      </c>
      <c r="K28" s="112">
        <v>7572</v>
      </c>
      <c r="L28" s="112">
        <v>7772</v>
      </c>
      <c r="M28" s="112">
        <v>7896</v>
      </c>
      <c r="N28" s="112">
        <v>10230</v>
      </c>
    </row>
    <row r="29" spans="2:14" x14ac:dyDescent="0.3">
      <c r="B29" t="s">
        <v>342</v>
      </c>
      <c r="C29" s="112">
        <v>7315</v>
      </c>
      <c r="D29" s="112">
        <v>5154</v>
      </c>
      <c r="E29" s="112">
        <v>2919</v>
      </c>
      <c r="F29" s="112">
        <v>3233</v>
      </c>
      <c r="G29" s="112">
        <v>3742</v>
      </c>
      <c r="H29" s="112">
        <v>4424</v>
      </c>
      <c r="I29" s="112">
        <v>5171</v>
      </c>
      <c r="J29" s="112">
        <v>10953</v>
      </c>
      <c r="K29" s="112">
        <v>20384</v>
      </c>
      <c r="L29" s="112">
        <v>20546</v>
      </c>
      <c r="M29" s="112">
        <v>20881</v>
      </c>
      <c r="N29" s="112">
        <v>22389</v>
      </c>
    </row>
    <row r="30" spans="2:14" x14ac:dyDescent="0.3">
      <c r="B30" s="2" t="s">
        <v>245</v>
      </c>
      <c r="C30" s="152">
        <v>164618</v>
      </c>
      <c r="D30" s="152">
        <v>114109</v>
      </c>
      <c r="E30" s="152">
        <v>131302</v>
      </c>
      <c r="F30" s="152">
        <v>145444</v>
      </c>
      <c r="G30" s="152">
        <v>177037</v>
      </c>
      <c r="H30" s="152">
        <v>201047</v>
      </c>
      <c r="I30" s="152">
        <v>217939</v>
      </c>
      <c r="J30" s="152">
        <v>221752</v>
      </c>
      <c r="K30" s="152">
        <v>245395</v>
      </c>
      <c r="L30" s="152">
        <v>259572</v>
      </c>
      <c r="M30" s="152">
        <v>273028</v>
      </c>
      <c r="N30" s="152">
        <v>322978</v>
      </c>
    </row>
    <row r="31" spans="2:14" x14ac:dyDescent="0.3">
      <c r="B31" s="70" t="s">
        <v>246</v>
      </c>
      <c r="C31" s="153">
        <v>96518</v>
      </c>
      <c r="D31" s="153">
        <v>41909</v>
      </c>
      <c r="E31" s="153">
        <v>39295</v>
      </c>
      <c r="F31" s="153">
        <v>49339</v>
      </c>
      <c r="G31" s="153">
        <v>52595</v>
      </c>
      <c r="H31" s="153">
        <v>66496</v>
      </c>
      <c r="I31" s="153">
        <v>82164</v>
      </c>
      <c r="J31" s="153">
        <v>88464</v>
      </c>
      <c r="K31" s="153">
        <v>98773</v>
      </c>
      <c r="L31" s="153">
        <v>110758</v>
      </c>
      <c r="M31" s="153">
        <v>122114</v>
      </c>
      <c r="N31" s="153">
        <v>143070</v>
      </c>
    </row>
    <row r="32" spans="2:14" x14ac:dyDescent="0.3">
      <c r="B32" s="2" t="s">
        <v>35</v>
      </c>
      <c r="C32" s="113">
        <f t="shared" ref="C32:N32" si="0">C30-C31</f>
        <v>68100</v>
      </c>
      <c r="D32" s="113">
        <f t="shared" si="0"/>
        <v>72200</v>
      </c>
      <c r="E32" s="113">
        <f t="shared" si="0"/>
        <v>92007</v>
      </c>
      <c r="F32" s="113">
        <f t="shared" si="0"/>
        <v>96105</v>
      </c>
      <c r="G32" s="113">
        <f t="shared" si="0"/>
        <v>124442</v>
      </c>
      <c r="H32" s="113">
        <f t="shared" si="0"/>
        <v>134551</v>
      </c>
      <c r="I32" s="113">
        <f t="shared" si="0"/>
        <v>135775</v>
      </c>
      <c r="J32" s="113">
        <f t="shared" si="0"/>
        <v>133288</v>
      </c>
      <c r="K32" s="113">
        <f t="shared" si="0"/>
        <v>146622</v>
      </c>
      <c r="L32" s="113">
        <f t="shared" si="0"/>
        <v>148814</v>
      </c>
      <c r="M32" s="113">
        <f t="shared" si="0"/>
        <v>150914</v>
      </c>
      <c r="N32" s="113">
        <f t="shared" si="0"/>
        <v>179908</v>
      </c>
    </row>
    <row r="33" spans="2:14" x14ac:dyDescent="0.3">
      <c r="B33" s="2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</row>
    <row r="34" spans="2:14" x14ac:dyDescent="0.3">
      <c r="B34" s="2" t="s">
        <v>343</v>
      </c>
      <c r="C34" s="112">
        <v>28678</v>
      </c>
      <c r="D34" s="112">
        <v>35996</v>
      </c>
      <c r="E34" s="112">
        <v>15784</v>
      </c>
      <c r="F34" s="112">
        <v>16614</v>
      </c>
      <c r="G34" s="112">
        <v>18641</v>
      </c>
      <c r="H34" s="112">
        <v>19497</v>
      </c>
      <c r="I34" s="112">
        <v>19007</v>
      </c>
      <c r="J34" s="112">
        <v>22046</v>
      </c>
      <c r="K34" s="112">
        <v>31213</v>
      </c>
      <c r="L34" s="112">
        <v>34356</v>
      </c>
      <c r="M34" s="112">
        <v>41622</v>
      </c>
      <c r="N34" s="112">
        <v>28497</v>
      </c>
    </row>
    <row r="35" spans="2:14" x14ac:dyDescent="0.3">
      <c r="B35" s="2" t="s">
        <v>37</v>
      </c>
      <c r="C35" s="112">
        <v>3455</v>
      </c>
      <c r="D35" s="112">
        <v>10714</v>
      </c>
      <c r="E35" s="112">
        <v>12457</v>
      </c>
      <c r="F35" s="112">
        <v>17899</v>
      </c>
      <c r="G35" s="112">
        <v>5738</v>
      </c>
      <c r="H35" s="112">
        <v>6285</v>
      </c>
      <c r="I35" s="112">
        <v>10682</v>
      </c>
      <c r="J35" s="112">
        <v>13140</v>
      </c>
      <c r="K35" s="112">
        <v>8410</v>
      </c>
      <c r="L35" s="112">
        <v>6258</v>
      </c>
      <c r="M35" s="112">
        <v>6194</v>
      </c>
      <c r="N35" s="112">
        <v>7089</v>
      </c>
    </row>
    <row r="36" spans="2:14" x14ac:dyDescent="0.3">
      <c r="B36" s="2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</row>
    <row r="37" spans="2:14" x14ac:dyDescent="0.3">
      <c r="B37" s="2" t="s">
        <v>344</v>
      </c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</row>
    <row r="38" spans="2:14" x14ac:dyDescent="0.3">
      <c r="B38" t="s">
        <v>345</v>
      </c>
      <c r="C38" s="112">
        <v>25150</v>
      </c>
      <c r="D38" s="112">
        <v>20013</v>
      </c>
      <c r="E38" s="112">
        <v>24804</v>
      </c>
      <c r="F38" s="112">
        <v>28331</v>
      </c>
      <c r="G38" s="112">
        <v>31656</v>
      </c>
      <c r="H38" s="112">
        <v>31069</v>
      </c>
      <c r="I38" s="112">
        <v>33276</v>
      </c>
      <c r="J38" s="112">
        <v>48824</v>
      </c>
      <c r="K38" s="112">
        <v>54415</v>
      </c>
      <c r="L38" s="112">
        <v>49158</v>
      </c>
      <c r="M38" s="112">
        <v>44590</v>
      </c>
      <c r="N38" s="112">
        <v>47249</v>
      </c>
    </row>
    <row r="39" spans="2:14" x14ac:dyDescent="0.3">
      <c r="B39" t="s">
        <v>346</v>
      </c>
      <c r="C39" s="112">
        <v>13310</v>
      </c>
      <c r="D39" s="112">
        <v>12066</v>
      </c>
      <c r="E39" s="112">
        <v>11587</v>
      </c>
      <c r="F39" s="112">
        <v>12416</v>
      </c>
      <c r="G39" s="112">
        <v>11811</v>
      </c>
      <c r="H39" s="112">
        <v>7885</v>
      </c>
      <c r="I39" s="112">
        <v>9540</v>
      </c>
      <c r="J39" s="112">
        <v>12246</v>
      </c>
      <c r="K39" s="112">
        <v>8257</v>
      </c>
      <c r="L39" s="112">
        <v>6264</v>
      </c>
      <c r="M39" s="112">
        <v>5260</v>
      </c>
      <c r="N39" s="112">
        <v>4917</v>
      </c>
    </row>
    <row r="40" spans="2:14" x14ac:dyDescent="0.3">
      <c r="B40" t="s">
        <v>347</v>
      </c>
      <c r="C40" s="112">
        <v>8750</v>
      </c>
      <c r="D40" s="112">
        <v>6186</v>
      </c>
      <c r="E40" s="112">
        <v>4921</v>
      </c>
      <c r="F40" s="112">
        <v>7938</v>
      </c>
      <c r="G40" s="112">
        <v>3341</v>
      </c>
      <c r="H40" s="112">
        <v>8055</v>
      </c>
      <c r="I40" s="112">
        <v>5782</v>
      </c>
      <c r="J40" s="112">
        <v>15899</v>
      </c>
      <c r="K40" s="112">
        <v>13357</v>
      </c>
      <c r="L40" s="112">
        <v>8678</v>
      </c>
      <c r="M40" s="112">
        <v>11647</v>
      </c>
      <c r="N40" s="112">
        <v>10058</v>
      </c>
    </row>
    <row r="41" spans="2:14" x14ac:dyDescent="0.3">
      <c r="B41" t="s">
        <v>348</v>
      </c>
      <c r="C41" s="112">
        <v>-182</v>
      </c>
      <c r="D41" s="112">
        <v>107</v>
      </c>
      <c r="E41" s="112">
        <v>98</v>
      </c>
      <c r="F41" s="112">
        <v>219</v>
      </c>
      <c r="G41" s="112">
        <v>-56</v>
      </c>
      <c r="H41" s="112">
        <v>195</v>
      </c>
      <c r="I41" s="112">
        <v>-193</v>
      </c>
      <c r="J41" s="112">
        <v>-158</v>
      </c>
      <c r="K41" s="112">
        <v>-90</v>
      </c>
      <c r="L41" s="112">
        <v>-56</v>
      </c>
      <c r="M41" s="112">
        <v>49</v>
      </c>
      <c r="N41" s="112">
        <v>1167</v>
      </c>
    </row>
    <row r="42" spans="2:14" x14ac:dyDescent="0.3">
      <c r="B42" t="s">
        <v>349</v>
      </c>
      <c r="C42" s="113">
        <v>11848</v>
      </c>
      <c r="D42" s="113">
        <v>19602</v>
      </c>
      <c r="E42" s="113">
        <v>10790</v>
      </c>
      <c r="F42" s="113">
        <v>29200</v>
      </c>
      <c r="G42" s="113">
        <v>37200</v>
      </c>
      <c r="H42" s="113">
        <v>41613</v>
      </c>
      <c r="I42" s="113">
        <v>30039</v>
      </c>
      <c r="J42" s="113">
        <v>37137</v>
      </c>
      <c r="K42" s="113">
        <v>23211</v>
      </c>
      <c r="L42" s="113">
        <v>15842</v>
      </c>
      <c r="M42" s="113">
        <v>15182</v>
      </c>
      <c r="N42" s="113">
        <v>17630</v>
      </c>
    </row>
    <row r="43" spans="2:14" ht="15" customHeight="1" x14ac:dyDescent="0.3">
      <c r="B43" s="160" t="s">
        <v>104</v>
      </c>
      <c r="C43" s="161">
        <v>159109</v>
      </c>
      <c r="D43" s="161">
        <v>176884</v>
      </c>
      <c r="E43" s="161">
        <v>172447</v>
      </c>
      <c r="F43" s="161">
        <v>208722</v>
      </c>
      <c r="G43" s="161">
        <v>232773</v>
      </c>
      <c r="H43" s="161">
        <v>249149</v>
      </c>
      <c r="I43" s="161">
        <v>243909</v>
      </c>
      <c r="J43" s="161">
        <v>282422</v>
      </c>
      <c r="K43" s="161">
        <v>285396</v>
      </c>
      <c r="L43" s="161">
        <v>269312</v>
      </c>
      <c r="M43" s="161">
        <v>275459</v>
      </c>
      <c r="N43" s="161">
        <v>296515</v>
      </c>
    </row>
    <row r="44" spans="2:14" ht="15" customHeight="1" x14ac:dyDescent="0.3"/>
    <row r="46" spans="2:14" x14ac:dyDescent="0.3">
      <c r="B46" s="88" t="s">
        <v>320</v>
      </c>
      <c r="C46" s="149">
        <v>42064</v>
      </c>
      <c r="D46" s="149">
        <v>42430</v>
      </c>
      <c r="E46" s="149">
        <v>42795</v>
      </c>
      <c r="F46" s="149">
        <v>43160</v>
      </c>
      <c r="G46" s="149">
        <v>43525</v>
      </c>
      <c r="H46" s="149">
        <v>43891</v>
      </c>
      <c r="I46" s="149">
        <v>44256</v>
      </c>
      <c r="J46" s="149">
        <v>44621</v>
      </c>
      <c r="K46" s="149">
        <v>44986</v>
      </c>
      <c r="L46" s="149">
        <v>45352</v>
      </c>
      <c r="M46" s="149">
        <v>45717</v>
      </c>
      <c r="N46" s="149">
        <v>46082</v>
      </c>
    </row>
    <row r="47" spans="2:14" x14ac:dyDescent="0.3">
      <c r="B47" s="135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</row>
    <row r="48" spans="2:14" x14ac:dyDescent="0.3">
      <c r="B48" s="180" t="s">
        <v>350</v>
      </c>
      <c r="C48" s="181">
        <v>11880</v>
      </c>
      <c r="D48" s="181">
        <v>11455</v>
      </c>
      <c r="E48" s="181">
        <v>10824</v>
      </c>
      <c r="F48" s="181">
        <v>8023</v>
      </c>
      <c r="G48" s="181">
        <v>25336</v>
      </c>
      <c r="H48" s="181">
        <v>20169</v>
      </c>
      <c r="I48" s="181">
        <v>44327</v>
      </c>
      <c r="J48" s="181">
        <v>44381</v>
      </c>
      <c r="K48" s="181">
        <v>21683</v>
      </c>
      <c r="L48" s="181">
        <v>20301</v>
      </c>
      <c r="M48" s="181">
        <v>23138</v>
      </c>
      <c r="N48" s="181">
        <v>35064</v>
      </c>
    </row>
    <row r="49" spans="2:14" x14ac:dyDescent="0.3">
      <c r="B49" t="s">
        <v>107</v>
      </c>
      <c r="C49" s="113">
        <v>13955</v>
      </c>
      <c r="D49" s="113">
        <v>6824</v>
      </c>
      <c r="E49" s="113">
        <v>17581</v>
      </c>
      <c r="F49" s="113">
        <v>20187</v>
      </c>
      <c r="G49" s="113">
        <v>27840</v>
      </c>
      <c r="H49" s="113">
        <v>18078</v>
      </c>
      <c r="I49" s="113">
        <v>28540</v>
      </c>
      <c r="J49" s="113">
        <v>65900</v>
      </c>
      <c r="K49" s="113">
        <v>30908</v>
      </c>
      <c r="L49" s="113">
        <v>22237</v>
      </c>
      <c r="M49" s="113">
        <v>23929</v>
      </c>
      <c r="N49" s="113">
        <v>34219</v>
      </c>
    </row>
    <row r="50" spans="2:14" x14ac:dyDescent="0.3">
      <c r="B50" t="s">
        <v>108</v>
      </c>
      <c r="C50" s="113">
        <v>1442</v>
      </c>
      <c r="D50" s="113">
        <v>0</v>
      </c>
      <c r="E50" s="113">
        <v>0</v>
      </c>
      <c r="F50" s="113">
        <v>0</v>
      </c>
      <c r="G50" s="113">
        <v>0</v>
      </c>
      <c r="H50" s="113">
        <v>0</v>
      </c>
      <c r="I50" s="113">
        <v>0</v>
      </c>
      <c r="J50" s="113">
        <v>0</v>
      </c>
      <c r="K50" s="113">
        <v>0</v>
      </c>
      <c r="L50" s="113">
        <v>0</v>
      </c>
      <c r="M50" s="113">
        <v>0</v>
      </c>
      <c r="N50" s="113">
        <v>0</v>
      </c>
    </row>
    <row r="51" spans="2:14" x14ac:dyDescent="0.3">
      <c r="B51" t="s">
        <v>41</v>
      </c>
      <c r="C51" s="113">
        <v>-485</v>
      </c>
      <c r="D51" s="113">
        <v>5618</v>
      </c>
      <c r="E51" s="113">
        <v>-8243</v>
      </c>
      <c r="F51" s="113">
        <v>-1595</v>
      </c>
      <c r="G51" s="113">
        <v>-1069</v>
      </c>
      <c r="H51" s="113">
        <v>1562</v>
      </c>
      <c r="I51" s="113">
        <v>46</v>
      </c>
      <c r="J51" s="113">
        <v>-16917</v>
      </c>
      <c r="K51" s="113">
        <v>-4031</v>
      </c>
      <c r="L51" s="113">
        <v>5566</v>
      </c>
      <c r="M51" s="113">
        <v>4776</v>
      </c>
      <c r="N51" s="113">
        <v>1290</v>
      </c>
    </row>
    <row r="52" spans="2:14" x14ac:dyDescent="0.3">
      <c r="B52" t="s">
        <v>109</v>
      </c>
      <c r="C52" s="113">
        <v>-605</v>
      </c>
      <c r="D52" s="113">
        <v>0</v>
      </c>
      <c r="E52" s="113">
        <v>0</v>
      </c>
      <c r="F52" s="113">
        <v>0</v>
      </c>
      <c r="G52" s="113">
        <v>0</v>
      </c>
      <c r="H52" s="113">
        <v>0</v>
      </c>
      <c r="I52" s="113">
        <v>0</v>
      </c>
      <c r="J52" s="113">
        <v>0</v>
      </c>
      <c r="K52" s="113">
        <v>0</v>
      </c>
      <c r="L52" s="113">
        <v>0</v>
      </c>
      <c r="M52" s="113">
        <v>0</v>
      </c>
      <c r="N52" s="113">
        <v>0</v>
      </c>
    </row>
    <row r="53" spans="2:14" x14ac:dyDescent="0.3">
      <c r="B53" t="s">
        <v>110</v>
      </c>
      <c r="C53" s="113">
        <v>0</v>
      </c>
      <c r="D53" s="113">
        <v>548</v>
      </c>
      <c r="E53" s="113">
        <v>3329</v>
      </c>
      <c r="F53" s="113">
        <v>-7680</v>
      </c>
      <c r="G53" s="113">
        <v>3659</v>
      </c>
      <c r="H53" s="113">
        <v>2634</v>
      </c>
      <c r="I53" s="113">
        <v>16446</v>
      </c>
      <c r="J53" s="113">
        <v>7299</v>
      </c>
      <c r="K53" s="113">
        <v>325</v>
      </c>
      <c r="L53" s="113">
        <v>-2182</v>
      </c>
      <c r="M53" s="113">
        <v>-2569</v>
      </c>
      <c r="N53" s="113">
        <v>4152</v>
      </c>
    </row>
    <row r="54" spans="2:14" x14ac:dyDescent="0.3"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</row>
    <row r="55" spans="2:14" x14ac:dyDescent="0.3">
      <c r="B55" s="2" t="s">
        <v>111</v>
      </c>
      <c r="C55" s="113">
        <v>351</v>
      </c>
      <c r="D55" s="113">
        <v>6166</v>
      </c>
      <c r="E55" s="113">
        <v>-4914</v>
      </c>
      <c r="F55" s="113">
        <v>-9276</v>
      </c>
      <c r="G55" s="113">
        <v>2591</v>
      </c>
      <c r="H55" s="113">
        <v>4196</v>
      </c>
      <c r="I55" s="113">
        <v>16491</v>
      </c>
      <c r="J55" s="113">
        <v>-9618</v>
      </c>
      <c r="K55" s="113">
        <v>-3706</v>
      </c>
      <c r="L55" s="113">
        <v>3384</v>
      </c>
      <c r="M55" s="113">
        <v>2207</v>
      </c>
      <c r="N55" s="113">
        <v>5442</v>
      </c>
    </row>
    <row r="56" spans="2:14" x14ac:dyDescent="0.3">
      <c r="B56" t="s">
        <v>112</v>
      </c>
      <c r="C56" s="113">
        <v>-2427</v>
      </c>
      <c r="D56" s="113">
        <v>-1534</v>
      </c>
      <c r="E56" s="113">
        <v>-1843</v>
      </c>
      <c r="F56" s="113">
        <v>-2888</v>
      </c>
      <c r="G56" s="113">
        <v>-5094</v>
      </c>
      <c r="H56" s="113">
        <v>-2106</v>
      </c>
      <c r="I56" s="113">
        <v>-704</v>
      </c>
      <c r="J56" s="113">
        <v>-11902</v>
      </c>
      <c r="K56" s="113">
        <v>-5519</v>
      </c>
      <c r="L56" s="113">
        <v>-5320</v>
      </c>
      <c r="M56" s="113">
        <v>-2998</v>
      </c>
      <c r="N56" s="113">
        <v>-4597</v>
      </c>
    </row>
    <row r="57" spans="2:14" x14ac:dyDescent="0.3"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</row>
    <row r="58" spans="2:14" x14ac:dyDescent="0.3">
      <c r="B58" s="180" t="s">
        <v>351</v>
      </c>
      <c r="C58" s="182">
        <v>-9021</v>
      </c>
      <c r="D58" s="182">
        <v>-8794</v>
      </c>
      <c r="E58" s="182">
        <v>-9490</v>
      </c>
      <c r="F58" s="182">
        <v>-11730</v>
      </c>
      <c r="G58" s="182">
        <v>-29176</v>
      </c>
      <c r="H58" s="182">
        <v>-14012</v>
      </c>
      <c r="I58" s="182">
        <v>-9437</v>
      </c>
      <c r="J58" s="182">
        <v>-10905</v>
      </c>
      <c r="K58" s="182">
        <v>-18179</v>
      </c>
      <c r="L58" s="182">
        <v>-14253</v>
      </c>
      <c r="M58" s="182">
        <v>-13611</v>
      </c>
      <c r="N58" s="182">
        <v>-14397</v>
      </c>
    </row>
    <row r="59" spans="2:14" x14ac:dyDescent="0.3">
      <c r="B59" t="s">
        <v>115</v>
      </c>
      <c r="C59" s="113">
        <v>-13492</v>
      </c>
      <c r="D59" s="113">
        <v>-10163</v>
      </c>
      <c r="E59" s="113">
        <v>-7716</v>
      </c>
      <c r="F59" s="113">
        <v>-7478</v>
      </c>
      <c r="G59" s="113">
        <v>-9091</v>
      </c>
      <c r="H59" s="113">
        <v>-10398</v>
      </c>
      <c r="I59" s="113">
        <v>-6979</v>
      </c>
      <c r="J59" s="113">
        <v>-10522</v>
      </c>
      <c r="K59" s="113">
        <v>-14142</v>
      </c>
      <c r="L59" s="113">
        <v>-18207</v>
      </c>
      <c r="M59" s="113">
        <v>-15671</v>
      </c>
      <c r="N59" s="113">
        <v>-14559</v>
      </c>
    </row>
    <row r="60" spans="2:14" x14ac:dyDescent="0.3">
      <c r="B60" t="s">
        <v>116</v>
      </c>
      <c r="C60" s="113">
        <v>1444</v>
      </c>
      <c r="D60" s="113">
        <v>231</v>
      </c>
      <c r="E60" s="113">
        <v>289</v>
      </c>
      <c r="F60" s="113">
        <v>179</v>
      </c>
      <c r="G60" s="113">
        <v>467</v>
      </c>
      <c r="H60" s="113">
        <v>386</v>
      </c>
      <c r="I60" s="113">
        <v>445</v>
      </c>
      <c r="J60" s="113">
        <v>569</v>
      </c>
      <c r="K60" s="113">
        <v>328</v>
      </c>
      <c r="L60" s="113">
        <v>475</v>
      </c>
      <c r="M60" s="113">
        <v>1264</v>
      </c>
      <c r="N60" s="113">
        <v>1401</v>
      </c>
    </row>
    <row r="61" spans="2:14" x14ac:dyDescent="0.3">
      <c r="B61" t="s">
        <v>117</v>
      </c>
      <c r="C61" s="113">
        <v>1531</v>
      </c>
      <c r="D61" s="113">
        <v>-3796</v>
      </c>
      <c r="E61" s="113">
        <v>-861</v>
      </c>
      <c r="F61" s="113">
        <v>-8641</v>
      </c>
      <c r="G61" s="113">
        <v>-490</v>
      </c>
      <c r="H61" s="113">
        <v>-828</v>
      </c>
      <c r="I61" s="113">
        <v>-3631</v>
      </c>
      <c r="J61" s="113">
        <v>-1153</v>
      </c>
      <c r="K61" s="113">
        <v>-326</v>
      </c>
      <c r="L61" s="113">
        <v>-4</v>
      </c>
      <c r="M61" s="113">
        <v>-393</v>
      </c>
      <c r="N61" s="113">
        <v>-553</v>
      </c>
    </row>
    <row r="62" spans="2:14" x14ac:dyDescent="0.3">
      <c r="B62" t="s">
        <v>118</v>
      </c>
      <c r="C62" s="113">
        <v>262</v>
      </c>
      <c r="D62" s="113">
        <v>4275</v>
      </c>
      <c r="E62" s="113">
        <v>91</v>
      </c>
      <c r="F62" s="113">
        <v>3899</v>
      </c>
      <c r="G62" s="113">
        <v>13556</v>
      </c>
      <c r="H62" s="113">
        <v>121</v>
      </c>
      <c r="I62" s="113">
        <v>0</v>
      </c>
      <c r="J62" s="113">
        <v>63</v>
      </c>
      <c r="K62" s="113">
        <v>5191</v>
      </c>
      <c r="L62" s="113">
        <v>3171</v>
      </c>
      <c r="M62" s="113">
        <v>554</v>
      </c>
      <c r="N62" s="113">
        <v>20</v>
      </c>
    </row>
    <row r="63" spans="2:14" x14ac:dyDescent="0.3">
      <c r="B63" t="s">
        <v>119</v>
      </c>
      <c r="C63" s="113">
        <v>211</v>
      </c>
      <c r="D63" s="113">
        <v>133</v>
      </c>
      <c r="E63" s="113">
        <v>140</v>
      </c>
      <c r="F63" s="113">
        <v>254</v>
      </c>
      <c r="G63" s="113">
        <v>175</v>
      </c>
      <c r="H63" s="113">
        <v>203</v>
      </c>
      <c r="I63" s="113">
        <v>266</v>
      </c>
      <c r="J63" s="113">
        <v>137</v>
      </c>
      <c r="K63" s="113">
        <v>248</v>
      </c>
      <c r="L63" s="113">
        <v>333</v>
      </c>
      <c r="M63" s="113">
        <v>616</v>
      </c>
      <c r="N63" s="113">
        <v>650</v>
      </c>
    </row>
    <row r="64" spans="2:14" x14ac:dyDescent="0.3">
      <c r="B64" t="s">
        <v>120</v>
      </c>
      <c r="C64" s="113">
        <v>127</v>
      </c>
      <c r="D64" s="113">
        <v>108</v>
      </c>
      <c r="E64" s="113">
        <v>85</v>
      </c>
      <c r="F64" s="113">
        <v>111</v>
      </c>
      <c r="G64" s="113">
        <v>148</v>
      </c>
      <c r="H64" s="113">
        <v>103</v>
      </c>
      <c r="I64" s="113">
        <v>135</v>
      </c>
      <c r="J64" s="113">
        <v>162</v>
      </c>
      <c r="K64" s="113">
        <v>317</v>
      </c>
      <c r="L64" s="113">
        <v>336</v>
      </c>
      <c r="M64" s="113">
        <v>294</v>
      </c>
      <c r="N64" s="113">
        <v>408</v>
      </c>
    </row>
    <row r="65" spans="2:14" x14ac:dyDescent="0.3">
      <c r="B65" t="s">
        <v>121</v>
      </c>
      <c r="C65" s="113">
        <v>1301</v>
      </c>
      <c r="D65" s="113">
        <v>0</v>
      </c>
      <c r="E65" s="113">
        <v>0</v>
      </c>
      <c r="F65" s="113">
        <v>34</v>
      </c>
      <c r="G65" s="113">
        <v>156</v>
      </c>
      <c r="H65" s="113">
        <v>378</v>
      </c>
      <c r="I65" s="113">
        <v>90</v>
      </c>
      <c r="J65" s="113">
        <v>1208</v>
      </c>
      <c r="K65" s="113">
        <v>166</v>
      </c>
      <c r="L65" s="113">
        <v>123</v>
      </c>
      <c r="M65" s="113">
        <v>28</v>
      </c>
      <c r="N65" s="113">
        <v>611</v>
      </c>
    </row>
    <row r="66" spans="2:14" x14ac:dyDescent="0.3">
      <c r="B66" t="s">
        <v>122</v>
      </c>
      <c r="C66" s="113">
        <v>-108</v>
      </c>
      <c r="D66" s="113">
        <v>-78</v>
      </c>
      <c r="E66" s="113">
        <v>-1081</v>
      </c>
      <c r="F66" s="113">
        <v>-255</v>
      </c>
      <c r="G66" s="113">
        <v>-34569</v>
      </c>
      <c r="H66" s="113">
        <v>-4433</v>
      </c>
      <c r="I66" s="113">
        <v>0</v>
      </c>
      <c r="J66" s="113">
        <v>-53</v>
      </c>
      <c r="K66" s="113">
        <v>-10569</v>
      </c>
      <c r="L66" s="113">
        <v>0</v>
      </c>
      <c r="M66" s="113">
        <v>-6</v>
      </c>
      <c r="N66" s="113">
        <v>-2846</v>
      </c>
    </row>
    <row r="67" spans="2:14" x14ac:dyDescent="0.3">
      <c r="B67" t="s">
        <v>123</v>
      </c>
      <c r="C67" s="113">
        <v>277</v>
      </c>
      <c r="D67" s="113">
        <v>0</v>
      </c>
      <c r="E67" s="113">
        <v>0</v>
      </c>
      <c r="F67" s="113">
        <v>0</v>
      </c>
      <c r="G67" s="113">
        <v>0</v>
      </c>
      <c r="H67" s="113">
        <v>0</v>
      </c>
      <c r="I67" s="113">
        <v>0</v>
      </c>
      <c r="J67" s="113">
        <v>0</v>
      </c>
      <c r="K67" s="113">
        <v>0</v>
      </c>
      <c r="L67" s="113">
        <v>0</v>
      </c>
      <c r="M67" s="113">
        <v>0</v>
      </c>
      <c r="N67" s="113">
        <v>0</v>
      </c>
    </row>
    <row r="68" spans="2:14" x14ac:dyDescent="0.3">
      <c r="B68" t="s">
        <v>124</v>
      </c>
      <c r="C68" s="113">
        <v>-573</v>
      </c>
      <c r="D68" s="113">
        <v>496</v>
      </c>
      <c r="E68" s="113">
        <v>-437</v>
      </c>
      <c r="F68" s="113">
        <v>166</v>
      </c>
      <c r="G68" s="113">
        <v>471</v>
      </c>
      <c r="H68" s="113">
        <v>456</v>
      </c>
      <c r="I68" s="113">
        <v>236</v>
      </c>
      <c r="J68" s="113">
        <v>-1315</v>
      </c>
      <c r="K68" s="113">
        <v>609</v>
      </c>
      <c r="L68" s="113">
        <v>-481</v>
      </c>
      <c r="M68" s="113">
        <v>-298</v>
      </c>
      <c r="N68" s="113">
        <v>472</v>
      </c>
    </row>
    <row r="69" spans="2:14" x14ac:dyDescent="0.3"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</row>
    <row r="70" spans="2:14" x14ac:dyDescent="0.3">
      <c r="B70" s="180" t="s">
        <v>352</v>
      </c>
      <c r="C70" s="182">
        <v>-2617</v>
      </c>
      <c r="D70" s="182">
        <v>-4729</v>
      </c>
      <c r="E70" s="182">
        <v>-2579</v>
      </c>
      <c r="F70" s="182">
        <v>6640</v>
      </c>
      <c r="G70" s="182">
        <v>-673</v>
      </c>
      <c r="H70" s="182">
        <v>-1695</v>
      </c>
      <c r="I70" s="182">
        <v>-37090</v>
      </c>
      <c r="J70" s="182">
        <v>-23401</v>
      </c>
      <c r="K70" s="182">
        <v>-6981</v>
      </c>
      <c r="L70" s="182">
        <v>-11097</v>
      </c>
      <c r="M70" s="182">
        <v>-7002</v>
      </c>
      <c r="N70" s="182">
        <v>-21387</v>
      </c>
    </row>
    <row r="71" spans="2:14" x14ac:dyDescent="0.3">
      <c r="B71" t="s">
        <v>127</v>
      </c>
      <c r="C71" s="113">
        <v>13</v>
      </c>
      <c r="D71" s="113">
        <v>0</v>
      </c>
      <c r="E71" s="113">
        <v>652</v>
      </c>
      <c r="F71" s="113">
        <v>9087</v>
      </c>
      <c r="G71" s="113">
        <v>0</v>
      </c>
      <c r="H71" s="113">
        <v>188</v>
      </c>
      <c r="I71" s="113">
        <v>3239</v>
      </c>
      <c r="J71" s="113">
        <v>326</v>
      </c>
      <c r="K71" s="113">
        <v>1</v>
      </c>
      <c r="L71" s="113">
        <v>0</v>
      </c>
      <c r="M71" s="113">
        <v>0</v>
      </c>
      <c r="N71" s="113">
        <v>0</v>
      </c>
    </row>
    <row r="72" spans="2:14" x14ac:dyDescent="0.3">
      <c r="B72" t="s">
        <v>128</v>
      </c>
      <c r="C72" s="113">
        <v>0</v>
      </c>
      <c r="D72" s="113">
        <v>0</v>
      </c>
      <c r="E72" s="113">
        <v>0</v>
      </c>
      <c r="F72" s="113">
        <v>0</v>
      </c>
      <c r="G72" s="113">
        <v>33344</v>
      </c>
      <c r="H72" s="113">
        <v>16574</v>
      </c>
      <c r="I72" s="113">
        <v>9801</v>
      </c>
      <c r="J72" s="113">
        <v>12439</v>
      </c>
      <c r="K72" s="113">
        <v>16769</v>
      </c>
      <c r="L72" s="113">
        <v>14120</v>
      </c>
      <c r="M72" s="113">
        <v>23893</v>
      </c>
      <c r="N72" s="113">
        <v>15954</v>
      </c>
    </row>
    <row r="73" spans="2:14" x14ac:dyDescent="0.3">
      <c r="B73" t="s">
        <v>129</v>
      </c>
      <c r="C73" s="113">
        <v>0</v>
      </c>
      <c r="D73" s="113">
        <v>0</v>
      </c>
      <c r="E73" s="113">
        <v>0</v>
      </c>
      <c r="F73" s="113">
        <v>0</v>
      </c>
      <c r="G73" s="113">
        <v>-25077</v>
      </c>
      <c r="H73" s="113">
        <v>-7937</v>
      </c>
      <c r="I73" s="113">
        <v>-39177</v>
      </c>
      <c r="J73" s="113">
        <v>-26360</v>
      </c>
      <c r="K73" s="113">
        <v>-10226</v>
      </c>
      <c r="L73" s="113">
        <v>-11908</v>
      </c>
      <c r="M73" s="113">
        <v>-17627</v>
      </c>
      <c r="N73" s="113">
        <v>-23916</v>
      </c>
    </row>
    <row r="74" spans="2:14" x14ac:dyDescent="0.3">
      <c r="B74" t="s">
        <v>130</v>
      </c>
      <c r="C74" s="113">
        <v>-5428</v>
      </c>
      <c r="D74" s="113">
        <v>-5483</v>
      </c>
      <c r="E74" s="113">
        <v>-4733</v>
      </c>
      <c r="F74" s="113">
        <v>-5146</v>
      </c>
      <c r="G74" s="113">
        <v>-6901</v>
      </c>
      <c r="H74" s="113">
        <v>-7419</v>
      </c>
      <c r="I74" s="113">
        <v>-6804</v>
      </c>
      <c r="J74" s="113">
        <v>-4687</v>
      </c>
      <c r="K74" s="113">
        <v>-6120</v>
      </c>
      <c r="L74" s="113">
        <v>-8145</v>
      </c>
      <c r="M74" s="113">
        <v>-8119</v>
      </c>
      <c r="N74" s="113">
        <v>-8066</v>
      </c>
    </row>
    <row r="75" spans="2:14" x14ac:dyDescent="0.3">
      <c r="B75" t="s">
        <v>131</v>
      </c>
      <c r="C75" s="113">
        <v>-983</v>
      </c>
      <c r="D75" s="113">
        <v>-788</v>
      </c>
      <c r="E75" s="113">
        <v>-791</v>
      </c>
      <c r="F75" s="113">
        <v>-982</v>
      </c>
      <c r="G75" s="113">
        <v>-1186</v>
      </c>
      <c r="H75" s="113">
        <v>-1507</v>
      </c>
      <c r="I75" s="113">
        <v>-1151</v>
      </c>
      <c r="J75" s="113">
        <v>-3020</v>
      </c>
      <c r="K75" s="113">
        <v>-6293</v>
      </c>
      <c r="L75" s="113">
        <v>-4429</v>
      </c>
      <c r="M75" s="113">
        <v>-4490</v>
      </c>
      <c r="N75" s="113">
        <v>-4490</v>
      </c>
    </row>
    <row r="76" spans="2:14" x14ac:dyDescent="0.3">
      <c r="B76" t="s">
        <v>132</v>
      </c>
      <c r="C76" s="113">
        <v>0</v>
      </c>
      <c r="D76" s="113">
        <v>-200</v>
      </c>
      <c r="E76" s="113">
        <v>-208</v>
      </c>
      <c r="F76" s="113">
        <v>-211</v>
      </c>
      <c r="G76" s="113">
        <v>-276</v>
      </c>
      <c r="H76" s="113">
        <v>-1029</v>
      </c>
      <c r="I76" s="113">
        <v>-1284</v>
      </c>
      <c r="J76" s="113">
        <v>-1310</v>
      </c>
      <c r="K76" s="113">
        <v>-1114</v>
      </c>
      <c r="L76" s="113">
        <v>-1140</v>
      </c>
      <c r="M76" s="113">
        <v>-971</v>
      </c>
      <c r="N76" s="113">
        <v>-1162</v>
      </c>
    </row>
    <row r="77" spans="2:14" x14ac:dyDescent="0.3">
      <c r="B77" t="s">
        <v>133</v>
      </c>
      <c r="C77" s="113">
        <v>3781</v>
      </c>
      <c r="D77" s="113">
        <v>1743</v>
      </c>
      <c r="E77" s="113">
        <v>2501</v>
      </c>
      <c r="F77" s="113">
        <v>3892</v>
      </c>
      <c r="G77" s="113">
        <v>-576</v>
      </c>
      <c r="H77" s="113">
        <v>-564</v>
      </c>
      <c r="I77" s="113">
        <v>-1714</v>
      </c>
      <c r="J77" s="113">
        <v>-789</v>
      </c>
      <c r="K77" s="113">
        <v>2</v>
      </c>
      <c r="L77" s="113">
        <v>404</v>
      </c>
      <c r="M77" s="113">
        <v>312</v>
      </c>
      <c r="N77" s="113">
        <v>293</v>
      </c>
    </row>
    <row r="78" spans="2:14" x14ac:dyDescent="0.3"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</row>
    <row r="79" spans="2:14" ht="15" customHeight="1" x14ac:dyDescent="0.3">
      <c r="B79" s="160" t="s">
        <v>49</v>
      </c>
      <c r="C79" s="183">
        <v>241</v>
      </c>
      <c r="D79" s="183">
        <v>-2068</v>
      </c>
      <c r="E79" s="183">
        <v>-1245</v>
      </c>
      <c r="F79" s="183">
        <v>2933</v>
      </c>
      <c r="G79" s="183">
        <v>-4513</v>
      </c>
      <c r="H79" s="183">
        <v>4462</v>
      </c>
      <c r="I79" s="183">
        <v>-2200</v>
      </c>
      <c r="J79" s="183">
        <v>10075</v>
      </c>
      <c r="K79" s="183">
        <v>-3477</v>
      </c>
      <c r="L79" s="183">
        <v>-5049</v>
      </c>
      <c r="M79" s="183">
        <v>2524</v>
      </c>
      <c r="N79" s="183">
        <v>-720</v>
      </c>
    </row>
    <row r="80" spans="2:14" ht="15" customHeight="1" x14ac:dyDescent="0.3">
      <c r="B80" t="s">
        <v>353</v>
      </c>
      <c r="C80" s="113">
        <v>-169</v>
      </c>
      <c r="D80" s="113">
        <v>1523</v>
      </c>
      <c r="E80" s="113">
        <v>3397</v>
      </c>
      <c r="F80" s="113">
        <v>724</v>
      </c>
      <c r="G80" s="113">
        <v>16712</v>
      </c>
      <c r="H80" s="113">
        <v>10156</v>
      </c>
      <c r="I80" s="113">
        <v>37793</v>
      </c>
      <c r="J80" s="113">
        <v>34428</v>
      </c>
      <c r="K80" s="113">
        <v>7868</v>
      </c>
      <c r="L80" s="113">
        <v>2569</v>
      </c>
      <c r="M80" s="113">
        <v>8731</v>
      </c>
      <c r="N80" s="113">
        <v>21906</v>
      </c>
    </row>
    <row r="81" spans="2:14" x14ac:dyDescent="0.3">
      <c r="B81" t="s">
        <v>354</v>
      </c>
      <c r="C81" s="79">
        <v>4.2</v>
      </c>
      <c r="D81" s="79">
        <v>-20.78</v>
      </c>
      <c r="E81" s="79">
        <v>0.96</v>
      </c>
      <c r="F81" s="79">
        <v>0.51</v>
      </c>
      <c r="G81" s="79">
        <v>1.04</v>
      </c>
      <c r="H81" s="79">
        <v>1.28</v>
      </c>
      <c r="I81" s="79">
        <v>1.48</v>
      </c>
      <c r="J81" s="79">
        <v>0.89</v>
      </c>
      <c r="K81" s="79">
        <v>0.84</v>
      </c>
      <c r="L81" s="79">
        <v>1.1499999999999999</v>
      </c>
      <c r="M81" s="79">
        <v>1.03</v>
      </c>
      <c r="N81" s="79">
        <v>1.1499999999999999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Profit &amp; Loss</vt:lpstr>
      <vt:lpstr>Quarters</vt:lpstr>
      <vt:lpstr>Balance Sheet</vt:lpstr>
      <vt:lpstr>Cash Flow</vt:lpstr>
      <vt:lpstr>Customization</vt:lpstr>
      <vt:lpstr>Financials&gt;</vt:lpstr>
      <vt:lpstr>FM</vt:lpstr>
      <vt:lpstr>WACC</vt:lpstr>
      <vt:lpstr>DATA&gt;</vt:lpstr>
      <vt:lpstr>BETA-Regression</vt:lpstr>
      <vt:lpstr>BETA_comps</vt:lpstr>
      <vt:lpstr>RM</vt:lpstr>
      <vt:lpstr>Intrinsic Growth</vt:lpstr>
      <vt:lpstr>DCF</vt:lpstr>
      <vt:lpstr>DATA ROOM&gt;</vt:lpstr>
      <vt:lpstr>Data Sheet</vt:lpstr>
      <vt:lpstr>Cash Flow Data</vt:lpstr>
      <vt:lpstr>Raw 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2026-06-18T11:42:29Z</dcterms:created>
  <dcterms:modified xsi:type="dcterms:W3CDTF">2026-06-18T11:44:34Z</dcterms:modified>
  <dc:language/>
</cp:coreProperties>
</file>